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grupoprisa-my.sharepoint.com/personal/juangodoy_est_caracol_com_co/Documents/Documentos/"/>
    </mc:Choice>
  </mc:AlternateContent>
  <xr:revisionPtr revIDLastSave="0" documentId="8_{A2706F69-03A4-4820-82A8-07C9E102E1DE}" xr6:coauthVersionLast="47" xr6:coauthVersionMax="47" xr10:uidLastSave="{00000000-0000-0000-0000-000000000000}"/>
  <bookViews>
    <workbookView xWindow="-110" yWindow="-110" windowWidth="19420" windowHeight="10300" firstSheet="3" activeTab="3" xr2:uid="{00000000-000D-0000-FFFF-FFFF00000000}"/>
  </bookViews>
  <sheets>
    <sheet name="Tablero_Comercial" sheetId="1" state="hidden" r:id="rId1"/>
    <sheet name="Instrucciones" sheetId="5" state="hidden" r:id="rId2"/>
    <sheet name="TABLAS DE DATA" sheetId="7" r:id="rId3"/>
    <sheet name="ESTATUS INNOVACIÓN DIGITAL" sheetId="2" r:id="rId4"/>
  </sheets>
  <definedNames>
    <definedName name="_xlnm._FilterDatabase" localSheetId="3" hidden="1">'ESTATUS INNOVACIÓN DIGITAL'!$A$1:$AG$1</definedName>
    <definedName name="SegmentaciónDeDatos_EQUIPO">#N/A</definedName>
  </definedNames>
  <calcPr calcId="191028"/>
  <pivotCaches>
    <pivotCache cacheId="52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6" i="2" l="1"/>
  <c r="P145" i="2"/>
  <c r="P144" i="2"/>
  <c r="R143" i="2"/>
  <c r="P143" i="2"/>
  <c r="P140" i="2"/>
  <c r="R142" i="2"/>
  <c r="P142" i="2"/>
  <c r="R32" i="2"/>
  <c r="P32" i="2"/>
  <c r="AM84" i="2"/>
  <c r="R141" i="2"/>
  <c r="P141" i="2"/>
  <c r="P137" i="2"/>
  <c r="R137" i="2"/>
  <c r="P20" i="2"/>
  <c r="R20" i="2"/>
  <c r="R139" i="2"/>
  <c r="P139" i="2"/>
  <c r="P138" i="2"/>
  <c r="R138" i="2"/>
  <c r="P136" i="2"/>
  <c r="R136" i="2"/>
  <c r="P135" i="2"/>
  <c r="R135" i="2"/>
  <c r="P68" i="2"/>
  <c r="P134" i="2"/>
  <c r="R134" i="2"/>
  <c r="P112" i="2"/>
  <c r="R112" i="2"/>
  <c r="P133" i="2"/>
  <c r="R133" i="2"/>
  <c r="P111" i="2"/>
  <c r="R111" i="2"/>
  <c r="R70" i="2"/>
  <c r="P70" i="2"/>
  <c r="P43" i="2"/>
  <c r="P44" i="2"/>
  <c r="P45" i="2"/>
  <c r="P60" i="2"/>
  <c r="P46" i="2"/>
  <c r="P47" i="2"/>
  <c r="P48" i="2"/>
  <c r="P49" i="2"/>
  <c r="P50" i="2"/>
  <c r="P51" i="2"/>
  <c r="P52" i="2"/>
  <c r="P113" i="2"/>
  <c r="P114" i="2"/>
  <c r="P115" i="2"/>
  <c r="P116" i="2"/>
  <c r="P117" i="2"/>
  <c r="P118" i="2"/>
  <c r="P119" i="2"/>
  <c r="P120" i="2"/>
  <c r="P121" i="2"/>
  <c r="P122" i="2"/>
  <c r="P123" i="2"/>
  <c r="P71" i="2"/>
  <c r="P75" i="2"/>
  <c r="P76" i="2"/>
  <c r="P77" i="2"/>
  <c r="P78" i="2"/>
  <c r="P79" i="2"/>
  <c r="P80" i="2"/>
  <c r="P81" i="2"/>
  <c r="P82" i="2"/>
  <c r="P83" i="2"/>
  <c r="P4" i="2"/>
  <c r="P5" i="2"/>
  <c r="P124" i="2"/>
  <c r="P2" i="2"/>
  <c r="P6" i="2"/>
  <c r="P3" i="2"/>
  <c r="P7" i="2"/>
  <c r="P15" i="2"/>
  <c r="P53" i="2"/>
  <c r="P8" i="2"/>
  <c r="P61" i="2"/>
  <c r="P9" i="2"/>
  <c r="P10" i="2"/>
  <c r="P11" i="2"/>
  <c r="P12" i="2"/>
  <c r="P13" i="2"/>
  <c r="P84" i="2"/>
  <c r="P125" i="2"/>
  <c r="P126" i="2"/>
  <c r="P16" i="2"/>
  <c r="P17" i="2"/>
  <c r="P18" i="2"/>
  <c r="P19" i="2"/>
  <c r="P21" i="2"/>
  <c r="P22" i="2"/>
  <c r="P23" i="2"/>
  <c r="P24" i="2"/>
  <c r="P25" i="2"/>
  <c r="P26" i="2"/>
  <c r="P27" i="2"/>
  <c r="P28" i="2"/>
  <c r="P29" i="2"/>
  <c r="P30" i="2"/>
  <c r="P31" i="2"/>
  <c r="P33" i="2"/>
  <c r="P34" i="2"/>
  <c r="P35" i="2"/>
  <c r="P36" i="2"/>
  <c r="P54" i="2"/>
  <c r="P55" i="2"/>
  <c r="P56" i="2"/>
  <c r="P57" i="2"/>
  <c r="P58" i="2"/>
  <c r="P62" i="2"/>
  <c r="P63" i="2"/>
  <c r="P64" i="2"/>
  <c r="P65" i="2"/>
  <c r="P66" i="2"/>
  <c r="P67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27" i="2"/>
  <c r="P128" i="2"/>
  <c r="P129" i="2"/>
  <c r="P130" i="2"/>
  <c r="P72" i="2"/>
  <c r="P73" i="2"/>
  <c r="P74" i="2"/>
  <c r="P37" i="2"/>
  <c r="P59" i="2"/>
  <c r="P38" i="2"/>
  <c r="P131" i="2"/>
  <c r="P132" i="2"/>
  <c r="P39" i="2"/>
  <c r="P40" i="2"/>
  <c r="P41" i="2"/>
  <c r="P42" i="2"/>
  <c r="P109" i="2"/>
  <c r="P69" i="2"/>
  <c r="P14" i="2"/>
  <c r="P110" i="2"/>
  <c r="R43" i="2"/>
  <c r="R44" i="2"/>
  <c r="R45" i="2"/>
  <c r="R60" i="2"/>
  <c r="R46" i="2"/>
  <c r="R47" i="2"/>
  <c r="R48" i="2"/>
  <c r="R49" i="2"/>
  <c r="R50" i="2"/>
  <c r="R51" i="2"/>
  <c r="R52" i="2"/>
  <c r="R114" i="2"/>
  <c r="R115" i="2"/>
  <c r="R116" i="2"/>
  <c r="R117" i="2"/>
  <c r="R118" i="2"/>
  <c r="R119" i="2"/>
  <c r="R120" i="2"/>
  <c r="R121" i="2"/>
  <c r="R122" i="2"/>
  <c r="R123" i="2"/>
  <c r="R71" i="2"/>
  <c r="R75" i="2"/>
  <c r="R76" i="2"/>
  <c r="R77" i="2"/>
  <c r="R78" i="2"/>
  <c r="R79" i="2"/>
  <c r="R80" i="2"/>
  <c r="R81" i="2"/>
  <c r="R82" i="2"/>
  <c r="R83" i="2"/>
  <c r="R4" i="2"/>
  <c r="R5" i="2"/>
  <c r="R124" i="2"/>
  <c r="R2" i="2"/>
  <c r="R6" i="2"/>
  <c r="R3" i="2"/>
  <c r="R7" i="2"/>
  <c r="R15" i="2"/>
  <c r="R53" i="2"/>
  <c r="R8" i="2"/>
  <c r="R61" i="2"/>
  <c r="R9" i="2"/>
  <c r="R10" i="2"/>
  <c r="R11" i="2"/>
  <c r="R12" i="2"/>
  <c r="R13" i="2"/>
  <c r="R84" i="2"/>
  <c r="R125" i="2"/>
  <c r="R16" i="2"/>
  <c r="R17" i="2"/>
  <c r="R18" i="2"/>
  <c r="R19" i="2"/>
  <c r="R21" i="2"/>
  <c r="R22" i="2"/>
  <c r="R23" i="2"/>
  <c r="R24" i="2"/>
  <c r="R25" i="2"/>
  <c r="R26" i="2"/>
  <c r="R27" i="2"/>
  <c r="R28" i="2"/>
  <c r="R29" i="2"/>
  <c r="R30" i="2"/>
  <c r="R31" i="2"/>
  <c r="R33" i="2"/>
  <c r="R34" i="2"/>
  <c r="R35" i="2"/>
  <c r="R36" i="2"/>
  <c r="R54" i="2"/>
  <c r="R55" i="2"/>
  <c r="R56" i="2"/>
  <c r="R57" i="2"/>
  <c r="R58" i="2"/>
  <c r="R62" i="2"/>
  <c r="R63" i="2"/>
  <c r="R64" i="2"/>
  <c r="R65" i="2"/>
  <c r="R66" i="2"/>
  <c r="R67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27" i="2"/>
  <c r="R128" i="2"/>
  <c r="R129" i="2"/>
  <c r="R130" i="2"/>
  <c r="R72" i="2"/>
  <c r="R73" i="2"/>
  <c r="R74" i="2"/>
  <c r="R68" i="2"/>
  <c r="R37" i="2"/>
  <c r="R59" i="2"/>
  <c r="R38" i="2"/>
  <c r="R131" i="2"/>
  <c r="R132" i="2"/>
  <c r="R39" i="2"/>
  <c r="R40" i="2"/>
  <c r="R41" i="2"/>
  <c r="R42" i="2"/>
  <c r="R109" i="2"/>
  <c r="R69" i="2"/>
  <c r="R110" i="2"/>
  <c r="AG60" i="2" l="1"/>
  <c r="AG46" i="2"/>
  <c r="AG47" i="2"/>
  <c r="AG48" i="2"/>
  <c r="AG49" i="2"/>
  <c r="AG50" i="2"/>
  <c r="AG51" i="2"/>
  <c r="AG52" i="2"/>
  <c r="AG113" i="2"/>
  <c r="AG114" i="2"/>
  <c r="AG115" i="2"/>
  <c r="AG116" i="2"/>
  <c r="AG44" i="2"/>
  <c r="AG45" i="2"/>
  <c r="AG43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</futureMetadata>
  <valueMetadata count="1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</valueMetadata>
</metadata>
</file>

<file path=xl/sharedStrings.xml><?xml version="1.0" encoding="utf-8"?>
<sst xmlns="http://schemas.openxmlformats.org/spreadsheetml/2006/main" count="1509" uniqueCount="465">
  <si>
    <t>N1</t>
  </si>
  <si>
    <t>N2</t>
  </si>
  <si>
    <t>N3</t>
  </si>
  <si>
    <t>N4</t>
  </si>
  <si>
    <t>N5</t>
  </si>
  <si>
    <t>EJECUTIVO</t>
  </si>
  <si>
    <t>RESPONSABLE</t>
  </si>
  <si>
    <t>CUENTAS</t>
  </si>
  <si>
    <t>NECESIDAD PRINCIPAL</t>
  </si>
  <si>
    <t>OPORTUNIDAD</t>
  </si>
  <si>
    <t>yale</t>
  </si>
  <si>
    <t>mercado libre</t>
  </si>
  <si>
    <t>falabella</t>
  </si>
  <si>
    <t>solo quieren digital y buscan diferencia más alla de un e-commerce</t>
  </si>
  <si>
    <t>ALCIAUTOS</t>
  </si>
  <si>
    <t>coca-cola</t>
  </si>
  <si>
    <t>cafam</t>
  </si>
  <si>
    <t>cencosud</t>
  </si>
  <si>
    <t>Claro</t>
  </si>
  <si>
    <t>e-commerce / venta digital, tecnologia, ciberseguridad, servisios de fibra, facturacion electronica</t>
  </si>
  <si>
    <t>ALLIANZ SEGUROS</t>
  </si>
  <si>
    <t>bavaria</t>
  </si>
  <si>
    <t>amazon / logistica / e-commerce /  servicios</t>
  </si>
  <si>
    <t>jumbo</t>
  </si>
  <si>
    <t>Politecnico</t>
  </si>
  <si>
    <t>Leads - calidad - no registro - matricula</t>
  </si>
  <si>
    <t>AUTOGERMANA</t>
  </si>
  <si>
    <t>movistar</t>
  </si>
  <si>
    <t>koala</t>
  </si>
  <si>
    <t>vanti</t>
  </si>
  <si>
    <t>corona</t>
  </si>
  <si>
    <t xml:space="preserve">este año su campaña es muy visual NSE alto / se le ha ofrecido figital pero no les gusta </t>
  </si>
  <si>
    <t>BBVA</t>
  </si>
  <si>
    <t>decathlon</t>
  </si>
  <si>
    <t>nissan</t>
  </si>
  <si>
    <t>que tenemos para automotriz</t>
  </si>
  <si>
    <t>davivienda</t>
  </si>
  <si>
    <t>U area andina</t>
  </si>
  <si>
    <t>Leads - calidad x inscripciones</t>
  </si>
  <si>
    <t>BAT - BRITSH AMERICAN TOBACCO</t>
  </si>
  <si>
    <t>compensar</t>
  </si>
  <si>
    <t>porche</t>
  </si>
  <si>
    <t>un bank</t>
  </si>
  <si>
    <t>Motai</t>
  </si>
  <si>
    <t>es un app para comprar Moto facil, la idea es mostrar como  es de facil adquirir su moto. Preosupesto bajo</t>
  </si>
  <si>
    <t>BROWN FORMAN</t>
  </si>
  <si>
    <t>Rappi</t>
  </si>
  <si>
    <t>necesitan incrementar su ticket diario</t>
  </si>
  <si>
    <t>samsung</t>
  </si>
  <si>
    <t>ESTADO</t>
  </si>
  <si>
    <t>paramo</t>
  </si>
  <si>
    <t>solo nos ven como radio pero hacen pauta en otro lado, necesitamos vendernos como plataforma digital</t>
  </si>
  <si>
    <t>CASTROL</t>
  </si>
  <si>
    <t>construtoras planificadas</t>
  </si>
  <si>
    <t>con que estrategia podriamos dar a conocer más a fondo los proyectos inmobiliarios que tienen</t>
  </si>
  <si>
    <t>plexi</t>
  </si>
  <si>
    <t>PRIORIDAD</t>
  </si>
  <si>
    <t xml:space="preserve">Alta </t>
  </si>
  <si>
    <t>CODERE COLOMBIA</t>
  </si>
  <si>
    <t>banco de occidente</t>
  </si>
  <si>
    <t>llevan mas de un año sin comprar. Cuenta de ahorros que renta, inversion colombianos</t>
  </si>
  <si>
    <t>primax</t>
  </si>
  <si>
    <t>PLAN DE ACCIÓN 1</t>
  </si>
  <si>
    <t>COLCAN - VITALEA LAB</t>
  </si>
  <si>
    <t>colsanitas</t>
  </si>
  <si>
    <t>PLAN DE ACCIÓN 2</t>
  </si>
  <si>
    <t>COVINOC</t>
  </si>
  <si>
    <t>proseguro</t>
  </si>
  <si>
    <t>PLAN DE ACCIÓN 3</t>
  </si>
  <si>
    <t>COVO</t>
  </si>
  <si>
    <t>adidas</t>
  </si>
  <si>
    <t>RESULTADO ESPERADO</t>
  </si>
  <si>
    <t>EGALITE</t>
  </si>
  <si>
    <t>kellogs</t>
  </si>
  <si>
    <t>VENTAS ESTIMADAS</t>
  </si>
  <si>
    <t>Pendiente</t>
  </si>
  <si>
    <t>FORD</t>
  </si>
  <si>
    <t>ajinomoto</t>
  </si>
  <si>
    <t>GENCELL</t>
  </si>
  <si>
    <t>knorr</t>
  </si>
  <si>
    <t>ISHOP</t>
  </si>
  <si>
    <t>supermercado makro</t>
  </si>
  <si>
    <t>KFC - INVERSIONES INT COLOMBIA</t>
  </si>
  <si>
    <t>casaluke</t>
  </si>
  <si>
    <t>MAZDA</t>
  </si>
  <si>
    <t>alqueria</t>
  </si>
  <si>
    <t>MEDPLUS</t>
  </si>
  <si>
    <t>volvo</t>
  </si>
  <si>
    <t>PASH - OSTU</t>
  </si>
  <si>
    <t>caja social</t>
  </si>
  <si>
    <t>PAVCO</t>
  </si>
  <si>
    <t xml:space="preserve">arturo calle </t>
  </si>
  <si>
    <t>PAX ASSISTANCE</t>
  </si>
  <si>
    <t>ramo</t>
  </si>
  <si>
    <t>SC JOHNSON</t>
  </si>
  <si>
    <t>spotify</t>
  </si>
  <si>
    <t>SIKA</t>
  </si>
  <si>
    <t>UIP</t>
  </si>
  <si>
    <t>URBANSA</t>
  </si>
  <si>
    <t>WIN SPORTS</t>
  </si>
  <si>
    <t>1. Completa todos los campos.</t>
  </si>
  <si>
    <t>2. Da clic en GUARDAR CUENTA.</t>
  </si>
  <si>
    <t>3. Espera confirmación.</t>
  </si>
  <si>
    <t>4. No cierres antes de guardar.</t>
  </si>
  <si>
    <t>5. Si ocurre error, contactar al gestor.</t>
  </si>
  <si>
    <t>Etiquetas de fila</t>
  </si>
  <si>
    <t>Suma de VENTA ESTIMADA</t>
  </si>
  <si>
    <t>Suma de VALOR DE LA PROPUESTA</t>
  </si>
  <si>
    <t>ALIANZAS</t>
  </si>
  <si>
    <t>En seguimiento</t>
  </si>
  <si>
    <t>Cerrada</t>
  </si>
  <si>
    <t>Felipe Guillen</t>
  </si>
  <si>
    <t>Andrea Morales</t>
  </si>
  <si>
    <t>Carolina Diaz</t>
  </si>
  <si>
    <t>Jaidy Morales</t>
  </si>
  <si>
    <t>Natalia Zambrano</t>
  </si>
  <si>
    <t>Camilo Prada</t>
  </si>
  <si>
    <t>Luisa Escobar</t>
  </si>
  <si>
    <t>Por cerrar</t>
  </si>
  <si>
    <t>Lina Lemus</t>
  </si>
  <si>
    <t xml:space="preserve">Laura Calvera </t>
  </si>
  <si>
    <t>Diana Andrea Rodriguez</t>
  </si>
  <si>
    <t>Helen Fajardo</t>
  </si>
  <si>
    <t>Laura Melo</t>
  </si>
  <si>
    <t>Diana Rodriguez</t>
  </si>
  <si>
    <t>Diana Andrea Rodiguez</t>
  </si>
  <si>
    <t>Karen Perez</t>
  </si>
  <si>
    <t>Luis López</t>
  </si>
  <si>
    <t xml:space="preserve">Carol Beltan </t>
  </si>
  <si>
    <t>Luz Karime Hernandez</t>
  </si>
  <si>
    <t xml:space="preserve">Raul Herrera </t>
  </si>
  <si>
    <t>PRODUCTOS GENERALES</t>
  </si>
  <si>
    <t>Total general</t>
  </si>
  <si>
    <t>EQUIPO</t>
  </si>
  <si>
    <t>NOMBRE EJECUTIVO</t>
  </si>
  <si>
    <t>CUENTA</t>
  </si>
  <si>
    <t>VENTA ESTIMADA</t>
  </si>
  <si>
    <t>NECESIDAD 1</t>
  </si>
  <si>
    <t>NECESIDAD 2</t>
  </si>
  <si>
    <t>NECESIDAD 3</t>
  </si>
  <si>
    <t>AVANCE PLAN 1</t>
  </si>
  <si>
    <t>AVANCE PLAN 2</t>
  </si>
  <si>
    <t>AVANCE PLAN 3</t>
  </si>
  <si>
    <t>CLAVE</t>
  </si>
  <si>
    <t>MES</t>
  </si>
  <si>
    <t>FECHA SOLICITUD</t>
  </si>
  <si>
    <t>FECHA DE ENTREGA</t>
  </si>
  <si>
    <t>LINK DE PRESENTACION</t>
  </si>
  <si>
    <t>VALOR DE LA PROPUESTA</t>
  </si>
  <si>
    <t>Columna1</t>
  </si>
  <si>
    <t>Columna2</t>
  </si>
  <si>
    <t>Columna3</t>
  </si>
  <si>
    <t>NOMBRE DIRECTOR</t>
  </si>
  <si>
    <t>TIPO EQUIPO</t>
  </si>
  <si>
    <t>EQUIPO4</t>
  </si>
  <si>
    <t>ESTADO5</t>
  </si>
  <si>
    <t>IMAGEN6</t>
  </si>
  <si>
    <t>PRIORIDAD7</t>
  </si>
  <si>
    <t>CLAVE8</t>
  </si>
  <si>
    <t>DISQUERAS - TIQUETERAS</t>
  </si>
  <si>
    <t>PROPUESTA DIGITAL PARA DISQUERAS, EVENTOS Y TIQUETERAS - FRANQUICIAS</t>
  </si>
  <si>
    <t>GENERAR PROPUESTA COMERCIAL</t>
  </si>
  <si>
    <t>ENTREGAR PROPUESTA</t>
  </si>
  <si>
    <t>SIN CAMBIOS</t>
  </si>
  <si>
    <t>Media</t>
  </si>
  <si>
    <t>JUNIO</t>
  </si>
  <si>
    <t>PRODUCTO DIGITAL-FRANQUICIAS-MÚSICA EN MOVIMIENTO.pptx</t>
  </si>
  <si>
    <t xml:space="preserve">FRANQUICIAS </t>
  </si>
  <si>
    <t xml:space="preserve">PROPUESTA DE FRANQUICIAS PARA EVENTOS </t>
  </si>
  <si>
    <t>PRODUCTO DIGITAL-DEL PLAY AL SHOW.pptx</t>
  </si>
  <si>
    <t>PROPUESTA DE FRANQUICIAS POR RUBROS</t>
  </si>
  <si>
    <t xml:space="preserve">SIN CAMBIOS </t>
  </si>
  <si>
    <t>FRANQUICIAS PRISA.pptx</t>
  </si>
  <si>
    <t xml:space="preserve">PROPUESTA DE FRANQUICIAS POR PAQUETES </t>
  </si>
  <si>
    <t>Producto_Digital_FRANQUICIAS PRISA 2026.pptx</t>
  </si>
  <si>
    <t>ELECCIONES 2026</t>
  </si>
  <si>
    <t>PROPUESTA ELECCIONES 2026</t>
  </si>
  <si>
    <t>PRODUCTO DIGITAL-ELECCIONES 2026.pptx</t>
  </si>
  <si>
    <t>PROPUESTA DIGITAL LA RUTA DEL GOL</t>
  </si>
  <si>
    <t>PRODUCTO DIGITAL-LA RUTA DEL GOL.pptx</t>
  </si>
  <si>
    <t>PROPUESTA DE FRANQUICIAS MUNDIAL 2026</t>
  </si>
  <si>
    <t>Producto_Digital_FRANQUICIA MUNDIALISTA.pptx</t>
  </si>
  <si>
    <t>PROPUESTA DIGITAL BEAUTY</t>
  </si>
  <si>
    <t>Producto_Digital_Universo Beauty.pptx</t>
  </si>
  <si>
    <t>PROPUESTA DIGITAL CONSTRUCTORAS</t>
  </si>
  <si>
    <t>Producto_Digital_LIVING EXPERIENCE.pptx</t>
  </si>
  <si>
    <t>PROPUESTA DIGITAL SHOPPABLE</t>
  </si>
  <si>
    <t>PROPUESTA  DIGITAL TECNOLOGIA DNS</t>
  </si>
  <si>
    <t>Producto_Digital_RADIO INTERACTIVO.pptx</t>
  </si>
  <si>
    <t>DESARROLO DE AGENTE DE IA</t>
  </si>
  <si>
    <t>CONEXIÓN PRISA</t>
  </si>
  <si>
    <t>CONEXIÓN PRISA
UNA DINÁMICA COMERCIAL QUE PRESENTA PRODUCTOS DIGITALES EXCLUSIVOS PARA CADA RUBRO, IMPULSANDO OPORTUNIDADES DE NEGOCIO EN TIEMPO REAL.</t>
  </si>
  <si>
    <t>Entregar la propuesta digital al area comercial</t>
  </si>
  <si>
    <t>Seguimiento – Evento 22 de julio</t>
  </si>
  <si>
    <t>Alta</t>
  </si>
  <si>
    <t>JULIO</t>
  </si>
  <si>
    <t>Producto_Digital-CONEXIÓN PRISA.pptx</t>
  </si>
  <si>
    <t>MANTEQUILLA LA BUENA</t>
  </si>
  <si>
    <t>PROPUESTA CAPSULAS FRANQUICIAS - PROBANDO PROBANDO Y CHICAS EN SU SALSA</t>
  </si>
  <si>
    <t>PRODUCTO DIGITAL - LA BUENA.pptx</t>
  </si>
  <si>
    <t>Diana Contreras Rodriguez</t>
  </si>
  <si>
    <t>YALE</t>
  </si>
  <si>
    <t>DESARROLO DE PROPUESTA DIGITAL</t>
  </si>
  <si>
    <t>Por Mejorar</t>
  </si>
  <si>
    <t>Rosa Diaz</t>
  </si>
  <si>
    <t>CAFAM</t>
  </si>
  <si>
    <t>KOALA</t>
  </si>
  <si>
    <t>NISSAN</t>
  </si>
  <si>
    <t>https://grupoprisa-my.sharepoint.com/:p:/g/personal/juangodoy_est_caracol_com_co/IQCYkmJrdbInS4u8M93JA0qcAZGDL-39y8dP9-zxG8YRQ3k</t>
  </si>
  <si>
    <t>CHANGAN</t>
  </si>
  <si>
    <t>https://grupoprisa-my.sharepoint.com/:p:/g/personal/juangodoy_est_caracol_com_co/IQCHxe3NSSkMSpsZDwFQ5LU5Ac7jtZiYMDl8eyyLQMcBTDw</t>
  </si>
  <si>
    <t>PORCHE</t>
  </si>
  <si>
    <t>SAMSUNG</t>
  </si>
  <si>
    <t>PLEXI</t>
  </si>
  <si>
    <t>PRIMAX</t>
  </si>
  <si>
    <t>COLSANITAS</t>
  </si>
  <si>
    <t>SE DESARROLLO UNA PROPUESTA PARA MUNDO COLSANITAS (PODCAST, CHAT IA)</t>
  </si>
  <si>
    <t>REALIZAR SEGUIMIENTO A LA PROPUESTA PARA CONOCER SU ESTADO, CONFIRMAR SI SE CONCRETÓ EL CIERRE E IDENTIFICAR OPORTUNIDADES DE MEJORA.</t>
  </si>
  <si>
    <t>AGOSTO</t>
  </si>
  <si>
    <t>PROSEGURO</t>
  </si>
  <si>
    <t>KELLOGS</t>
  </si>
  <si>
    <t>AJINOMOTO</t>
  </si>
  <si>
    <t>KNORR</t>
  </si>
  <si>
    <t>SUPERMERCADO MAKRO</t>
  </si>
  <si>
    <t>CASA LUKER</t>
  </si>
  <si>
    <t>Entregar la propuesta digital y su valorización al ejecutivo correspondiente.</t>
  </si>
  <si>
    <t>Realizar seguimiento a la propuesta para conocer su estado, confirmar si se concretó el cierre e identificar oportunidades de mejora.</t>
  </si>
  <si>
    <t xml:space="preserve">Andrea Morales </t>
  </si>
  <si>
    <t>ALQUERIA</t>
  </si>
  <si>
    <t>FRANQUICIA - LA MIL OFICIOS Y SE LO EXPLICO CON EXPERTOS</t>
  </si>
  <si>
    <t>VOLVO</t>
  </si>
  <si>
    <t>CAJA SOCIAL</t>
  </si>
  <si>
    <t>RAMO</t>
  </si>
  <si>
    <t>SPOTIFY</t>
  </si>
  <si>
    <t>DON JULIO</t>
  </si>
  <si>
    <t>Ruta del gol</t>
  </si>
  <si>
    <t>se paso la propuesta ruta del gol</t>
  </si>
  <si>
    <t>acaptaron la propuesta</t>
  </si>
  <si>
    <t>La propuesta fue aprobada por el cliente. Actualmente nos encontramos a la espera de su ejecución.</t>
  </si>
  <si>
    <t>ARTURO CALLE</t>
  </si>
  <si>
    <t>DESARROLO DE PROPUESTA DIGITAL - FRANQUICIA PLAZA ALVIRA</t>
  </si>
  <si>
    <t xml:space="preserve">no aprobado por el cliente </t>
  </si>
  <si>
    <t xml:space="preserve">en seguimiento </t>
  </si>
  <si>
    <t>EL TOUR DEL ESTILO.pptx</t>
  </si>
  <si>
    <t>ADIDAS</t>
  </si>
  <si>
    <t>PROPUESTA ADIDAS.pptx</t>
  </si>
  <si>
    <t>HONOR</t>
  </si>
  <si>
    <t>no aprobada por el cliente</t>
  </si>
  <si>
    <t>no aprobada</t>
  </si>
  <si>
    <t>PROPUESTA COMERCIAL HONOR.pptx</t>
  </si>
  <si>
    <t>NIKE</t>
  </si>
  <si>
    <t>PROPUESTA NIKE.pptx</t>
  </si>
  <si>
    <t>AMAZON</t>
  </si>
  <si>
    <t>DESARROLO DE PROPUESTA DIGITAL - FRANQUICIA TECNOLOGIA</t>
  </si>
  <si>
    <t>PROPUESTA AMAZON ECOMMERCE.pptx</t>
  </si>
  <si>
    <t>COLFONDOS S.A. PENSIONES Y CESANTIAS</t>
  </si>
  <si>
    <t xml:space="preserve">$ 92.198.334,00 </t>
  </si>
  <si>
    <t xml:space="preserve">Tiene un decrecimiento en su participación del mercado de 91%.  Y dejarón de invertir en la radio. FRANQUICIA EN SE LO EXPLICO CON EXPERTOS </t>
  </si>
  <si>
    <t>GENERAR PROPUESTA COMERCIAL - FRANQUICIA SE LO EXPLICO CON EXPERTOS</t>
  </si>
  <si>
    <t>PRODUCTO DIGITAL - COLFONDOS.pptx</t>
  </si>
  <si>
    <t>ENERO</t>
  </si>
  <si>
    <t>DIRECTOR 1</t>
  </si>
  <si>
    <t>Baja</t>
  </si>
  <si>
    <t>BIOCOMBUSTIBLES S.A.</t>
  </si>
  <si>
    <t>Tiene un cremiento en su participación del mercado de 77%. Radio tiene un crecimiento del 25%. Pero Prisa Media pierde la participación frente a RCN y Radio Polis.</t>
  </si>
  <si>
    <t xml:space="preserve">GENERAR PROPUESTA COMERCIAL </t>
  </si>
  <si>
    <t>Con base en la retroalimentación del cliente, se ajusta la propuesta para la campaña específica y se entrega la versión final para su validación.</t>
  </si>
  <si>
    <t>Producto_Digital-EL MUNDIAL SE JUEGA CON BIOMAX.pptx</t>
  </si>
  <si>
    <t>FEBRERO</t>
  </si>
  <si>
    <t>DIRECTOR 2</t>
  </si>
  <si>
    <t>BEIJING XIAOMI MOBILE SOFTWARE CO LTD</t>
  </si>
  <si>
    <t>Tiene un decrecimiento en su participación dell mercado de 82%.  Y dejarón de invertir en la radio</t>
  </si>
  <si>
    <t>MARZO</t>
  </si>
  <si>
    <t>DIRECTOR 3</t>
  </si>
  <si>
    <t>FEDERACION NACIONAL DE CULTIVADORES DE PALMA DE ACEITE</t>
  </si>
  <si>
    <t>Tiene un crecimiento en su participación del mercado de 132%. Pero no tiene participación en la Radio.</t>
  </si>
  <si>
    <t>MAYO</t>
  </si>
  <si>
    <t>DIRECTOR 5</t>
  </si>
  <si>
    <t>LABORATORIOS BUSSIE SA</t>
  </si>
  <si>
    <t>Tienen un decrecimiento en su participación dell mercado de 69%.  Y tiene toda su participación en Diarios.</t>
  </si>
  <si>
    <t>ALIANZA</t>
  </si>
  <si>
    <t>DISTRIBUIDORA TOYOTA S.A.S.</t>
  </si>
  <si>
    <t>Tiene un decrecimiento en su participación del mercado de 32%. Tienen el 61% de participación en la Radio, y Prisa Media  perdio participación en el medio radial.</t>
  </si>
  <si>
    <t xml:space="preserve">Realizar seguimiento a la propuesta para conocer su estado, confirmar si se concretó el cierre e identificar oportunidades de mejora. </t>
  </si>
  <si>
    <t>PRODUCTO DIGITAL DISTOYOTA.pptx</t>
  </si>
  <si>
    <t>BRECCIA SALUD S A S</t>
  </si>
  <si>
    <t>Tiene un decrecimiento en la participación del mercado de 25%. Tiene el 37% de participaón en la Radio, Prisa Media tiene el 6% perdiendo participación con RCN. FRANQUICIA EN ARMONIA</t>
  </si>
  <si>
    <t>GENERAR PROPUESTA COMERCIAL - FRANQUICIA EN ARMONIA</t>
  </si>
  <si>
    <t>Producto_Digital_EN EQUILIBRIO.pptx</t>
  </si>
  <si>
    <t>GRUPO EMPRESARIAL OIKOS S.A.S.</t>
  </si>
  <si>
    <t>Tiene un crecimeinto en la participación del mercado de 300%.  Y tiene su participación en los medios Digital y Vias Publicas.</t>
  </si>
  <si>
    <t>SEPTIEMBRE</t>
  </si>
  <si>
    <t>GRUPO EMPRESARIAL EN LINEA S.A.</t>
  </si>
  <si>
    <t>Tiene un decrecimiento en su participación del mercado de 59%. Y la Radio tiene un participación del 10%, Prisa Media tiene el 30% de la participación en l aradio. Perdiendo participación frente a Oro.</t>
  </si>
  <si>
    <t>OCTUBRE</t>
  </si>
  <si>
    <t>OPELLA HEALTHCARE COLOMBIA S.A.S.</t>
  </si>
  <si>
    <t>Tiene un decrecimiento en la participación del mercado de 75%, La radio tiene una participación del 2%, Y Prisa Media tiene el 88% de la participación en la Radio.</t>
  </si>
  <si>
    <t>NOVIEMBRE</t>
  </si>
  <si>
    <t>MERCADO LIBRE</t>
  </si>
  <si>
    <t>PROPUESTA DIGITAL DINAMICA CAJA  SORPRESA + PUNTOS</t>
  </si>
  <si>
    <t>Producto_Digital_MERCADO LIBRE LIVE COMMERCE.pptx</t>
  </si>
  <si>
    <t>CENCSUD</t>
  </si>
  <si>
    <t>JUMBO</t>
  </si>
  <si>
    <t>PROPUESTA DIGITAL DINAMICA CON NFC Y CHAT IA</t>
  </si>
  <si>
    <t>Producto_Digital-LA GRAN FIESTA DEL FESTIVERSARIO.pptx</t>
  </si>
  <si>
    <t>VANTI</t>
  </si>
  <si>
    <t>PROPUESTA DIGITAL DINAMICA  PAUTA INVESTIGATIVA, CAMION TROPICANA Y NFC</t>
  </si>
  <si>
    <t>MAPA DEL ULTIMO 1_ - VANTI - TROPICANA (1).pptx</t>
  </si>
  <si>
    <t>DAVIVIENDA</t>
  </si>
  <si>
    <t>NU BANK</t>
  </si>
  <si>
    <t>FENAVI</t>
  </si>
  <si>
    <t>DESARROLO DE PROPUESTA DIGITAL - FRANQUICIA PROBANDO PROBANDO</t>
  </si>
  <si>
    <t xml:space="preserve">La propuesta fue presentada al cliente </t>
  </si>
  <si>
    <t>El cliente acepta la propuesta y esta queda pendiente de ejecución.</t>
  </si>
  <si>
    <t>Producto_Digital-La proteína que une a Colombia- FENAVI.pptx</t>
  </si>
  <si>
    <t>INVERSIONES GLP S.A.S. E.S.P.</t>
  </si>
  <si>
    <t>Tiene un decrecimiento en su participación del mercado de 99%. Tiene toda su participación en Diarios.</t>
  </si>
  <si>
    <t>ABRIL</t>
  </si>
  <si>
    <t>DIRECTOR 4</t>
  </si>
  <si>
    <t>UNIVERSIDAD EUROPEA</t>
  </si>
  <si>
    <t>PROPUESTA DIGITAL TODO Y MAS + FRANQUICIAS TECNOLOGIA Y LA OTRA ENTEVISTA</t>
  </si>
  <si>
    <t>PRODUCTO DIGITAL - FUTURO GLOBAL 1.pptx</t>
  </si>
  <si>
    <t>Hugo Urrea</t>
  </si>
  <si>
    <t>CLARO</t>
  </si>
  <si>
    <t>POLITECNICO</t>
  </si>
  <si>
    <t>Sofia Calvera</t>
  </si>
  <si>
    <t>CORONA</t>
  </si>
  <si>
    <t>Elsa Cortez</t>
  </si>
  <si>
    <t>U AREA ANDINA</t>
  </si>
  <si>
    <t>MOTAI</t>
  </si>
  <si>
    <t>PARAMO</t>
  </si>
  <si>
    <t>Propuesta entregada</t>
  </si>
  <si>
    <t>PROPUESTA PARAMO PRESENTA.pptx</t>
  </si>
  <si>
    <t>NESTOGENO</t>
  </si>
  <si>
    <t>solicitud de propuesta digital a medida - FRANQUICIA MUJERES QUE TRANSFORMAN</t>
  </si>
  <si>
    <t>generar propuesta - FRANQUICIA MUJERES QUE TRANSFORMAN</t>
  </si>
  <si>
    <t>entregar propuesta</t>
  </si>
  <si>
    <t>POR CERRAR</t>
  </si>
  <si>
    <t>Producto Digital - NESTOGENO - CRECIENDO JUNTAS.pptx</t>
  </si>
  <si>
    <t>FALABELLA</t>
  </si>
  <si>
    <t>FALABELLA SHOPPING EXPERIENCE.pptx</t>
  </si>
  <si>
    <t>AUTONIZA</t>
  </si>
  <si>
    <t>Ecosistema whatsaap</t>
  </si>
  <si>
    <t>Entregar la propuesta digital</t>
  </si>
  <si>
    <t>Se formaliza el cierre de la venta y se da inicio al proceso de ejecución.</t>
  </si>
  <si>
    <t>21-Producto_Digital_ECOSISTEMA-WHATSAPP.pptx</t>
  </si>
  <si>
    <t>PROPUESTA DE FRANQUICIA CÁPSULAS DE VIDEO CON CHECK IN</t>
  </si>
  <si>
    <t>PRODUCTO DIGITAL - CERVEZA CORONA.pptx</t>
  </si>
  <si>
    <t>Nicole Hincapie</t>
  </si>
  <si>
    <t>RAPPI</t>
  </si>
  <si>
    <t>CONSTRUCTORAS PLANIFICADAS</t>
  </si>
  <si>
    <t>BANCO DE OCCIDENTE</t>
  </si>
  <si>
    <t>Gina Tinjacá</t>
  </si>
  <si>
    <t>Fortalecer el posicionamiento de la marca aprovechando el aniversario de Clínica Azul.</t>
  </si>
  <si>
    <t>Aumentar audiencias y suscripciones entre hinchas colombianos en el exterior.</t>
  </si>
  <si>
    <t>UNAD</t>
  </si>
  <si>
    <t>Atraer nuevos estudiantes en periodos de inscripción destacando flexibilidad, cobertura y accesibilidad.</t>
  </si>
  <si>
    <t>Valentina Párraga</t>
  </si>
  <si>
    <t>GAES</t>
  </si>
  <si>
    <t>Desarrollar campañas de sensibilización sobre pérdida auditiva y promover soluciones de bienestar e inclusión.</t>
  </si>
  <si>
    <t>BOSTON MEDICAL GROUP</t>
  </si>
  <si>
    <t>Fortalecer el posicionamiento mediante contenidos educativos y generación de confianza.</t>
  </si>
  <si>
    <t>Mauricio Agudelo</t>
  </si>
  <si>
    <t>LEVAPAN</t>
  </si>
  <si>
    <t>Incrementar reconocimiento de marca y preferencia entre profesionales y emprendedores del sector alimentario.</t>
  </si>
  <si>
    <t>FUNDACIÓN CARDIO INFANTIL</t>
  </si>
  <si>
    <t>Fortalecer el posicionamiento institucional y visibilizar su impacto social.</t>
  </si>
  <si>
    <t>Generar clientes potenciales para proyectos de vivienda VIS y No VIS.</t>
  </si>
  <si>
    <t>MASTERCARD</t>
  </si>
  <si>
    <t>Impulsar la adopción de medios de pago digitales, educación financiera e inclusión digital.</t>
  </si>
  <si>
    <t>SR SIMI</t>
  </si>
  <si>
    <t>PROPUESTA FRANQUICIA - EL ALBÚM</t>
  </si>
  <si>
    <t>https://canva.link/7gihh7hu1w85rtl</t>
  </si>
  <si>
    <t>GAC</t>
  </si>
  <si>
    <t>Producto_Digital-CONDUCE EL FUTURO- GAC.pptx</t>
  </si>
  <si>
    <t>VALVOLINE</t>
  </si>
  <si>
    <t xml:space="preserve"> franquicia Muchas Pelotas.</t>
  </si>
  <si>
    <t>Se concreta el cierre de la venta.</t>
  </si>
  <si>
    <t>FLAMINGO</t>
  </si>
  <si>
    <t>PROPUESTA PARA ANIVERSARIO</t>
  </si>
  <si>
    <t>PROPUESTA GENERADA Y ENVIADA AL EJECUTIVO</t>
  </si>
  <si>
    <t>SEGUIMIENTO</t>
  </si>
  <si>
    <t>https://grupoprisa-my.sharepoint.com/:p:/g/personal/juangodoy_est_caracol_com_co/IQCTvV2t-eLWQq2L9mflqXwPAfE1ADF1gSilO6Wk8SmQ5eY?CID=ad890f88-4ed8-9a0d-3c25-51ff00ffeb03&amp;SI=SentItems&amp;SLSync=F</t>
  </si>
  <si>
    <t>UNIVERSIDAD DE CATALUÑA</t>
  </si>
  <si>
    <t xml:space="preserve">DESARROLO DE PROPUESTA DIGITAL - FRANQUICIA PANTALLEROS </t>
  </si>
  <si>
    <t>PROPUESTA UNIVERSIDAD DE CATALUÑA.pptx</t>
  </si>
  <si>
    <t>HALEON</t>
  </si>
  <si>
    <t xml:space="preserve">Desarrollar una propuesta altamente diferencial e innovadora que responda a sus altos estándares de aprobación y logre reactivar inversión frente a la participación activa que mantienen en otros medios. FRANQUICIA EN TENDENCIA </t>
  </si>
  <si>
    <t>GENERAR PROPUESTA COMERCIAL - FRANQUICIA EN TENDENCIA</t>
  </si>
  <si>
    <t>Luz Hernandez</t>
  </si>
  <si>
    <t>PROPUESTA HALEON.pptx</t>
  </si>
  <si>
    <t>DICIEMBRE</t>
  </si>
  <si>
    <t>LACTALIS</t>
  </si>
  <si>
    <t xml:space="preserve">Mantener seguimiento estratégico de la cuenta y monitorear oportunidades futuras mientras persisten restricciones regulatorias que limitan la reactivación en el corto plazo. TIENE UN PROBLEMA CON INVIMA </t>
  </si>
  <si>
    <t>Ana Maria Castañeda</t>
  </si>
  <si>
    <t>SECTOR UNIVERSITARIO</t>
  </si>
  <si>
    <t>Construir estrategias de comunicación de largo plazo que permitan presencia continua durante el año y reduzcan la dependencia de campañas estacionales de matrícula.</t>
  </si>
  <si>
    <t>AR CONSTRUCCIONES</t>
  </si>
  <si>
    <t>Demostrar el valor de las plataformas de PRISA más allá de la radio tradicional, conectando soluciones comerciales con sus objetivos de negocio y generación de resultados.</t>
  </si>
  <si>
    <t>CONSTRUCTORA GALIAS</t>
  </si>
  <si>
    <t>Presentar propuestas innovadoras y diferenciadas que incentiven el retorno de inversión y reactiven la relación comercial.</t>
  </si>
  <si>
    <t>Cromantic y Aruma</t>
  </si>
  <si>
    <t>Diseñar iniciativas creativas que complementen sus estrategias digitales actuales y aumenten la participación de inversión en nuestros medios.</t>
  </si>
  <si>
    <t>CUSEZAR</t>
  </si>
  <si>
    <t>Desarrollar la cuenta mediante propuestas diferenciadoras que fortalezcan la relación y generen crecimiento sostenido de inversión.</t>
  </si>
  <si>
    <t>CEMEX</t>
  </si>
  <si>
    <t>Construir relacionamiento comercial y generar oportunidades desde una etapa temprana de exploración para consolidar futuras inversiones.</t>
  </si>
  <si>
    <t>DISTRITO SALVAJE</t>
  </si>
  <si>
    <t>Impulsar el desarrollo de la cuenta mediante acciones de valor que fortalezcan el posicionamiento de marca y generen nuevas oportunidades comerciales. NO TIENEN CONTACTO CON EL GERENTE</t>
  </si>
  <si>
    <t>VIAJES FALABELLA</t>
  </si>
  <si>
    <t>Desarrollar estrategias enfocadas y alineadas con objetivos de negocio para incrementar progresivamente su nivel de inversión.</t>
  </si>
  <si>
    <t>MOVISTAR</t>
  </si>
  <si>
    <t>Identificar alternativas comerciales que compensen la reducción de inversión derivada del proceso de integración con Tigo y sostener participación en la categoría.</t>
  </si>
  <si>
    <t>TA•DA</t>
  </si>
  <si>
    <t>PROPUESTA DIGITAL - DINAMICA DE SUBASTA</t>
  </si>
  <si>
    <t>PRODUCTO DIGITAL - TA•DA.pptx</t>
  </si>
  <si>
    <t>BAVARIA</t>
  </si>
  <si>
    <t>AMALFITANA</t>
  </si>
  <si>
    <t>PROPUESTA DUGITAL CON DOS PUNTOS MAS FRANQUICIA DE PROBANDO PROBANDO</t>
  </si>
  <si>
    <t>Carol Beltran</t>
  </si>
  <si>
    <t>PRODUCTO DIGITAL - AMALFITANA.pptx</t>
  </si>
  <si>
    <t>COCA-COLA</t>
  </si>
  <si>
    <t>DECATHLON</t>
  </si>
  <si>
    <t>PROPUESTA CERRADA</t>
  </si>
  <si>
    <t>COMPENSAR</t>
  </si>
  <si>
    <t>DESPEGAR</t>
  </si>
  <si>
    <t>DESARROLO DE PROPUESTA DIGITAL - FRANQUICIA CHECK IN</t>
  </si>
  <si>
    <t>PROPUESTA DESPEGAR.pptx</t>
  </si>
  <si>
    <t xml:space="preserve">BAN 100 </t>
  </si>
  <si>
    <t xml:space="preserve">DESARROLO DE PROPUESTA DIGITAL  - FRANQUICIA SE LO EXPLICO CON EXPERTOS </t>
  </si>
  <si>
    <t>PROPUESTA BAN100.pptx</t>
  </si>
  <si>
    <t>CERVEZA TRIBUTO</t>
  </si>
  <si>
    <t xml:space="preserve">PROPUESTA  DIGITAL - FRANQUICIA PROBANDO PROBANDO </t>
  </si>
  <si>
    <t>Producto_Digital-TRIBUTO.pptx</t>
  </si>
  <si>
    <t>HP</t>
  </si>
  <si>
    <t>DESARROLO DE PROPUESTA DIGITAL CON FRANQUICIA TECNOLOGIA</t>
  </si>
  <si>
    <t>PROPUESTA HP.pptx</t>
  </si>
  <si>
    <t>FONTANAR</t>
  </si>
  <si>
    <t xml:space="preserve">DESARROLO DE PROPUESTA DIGITAL - FRANQUICIA GABSULAS </t>
  </si>
  <si>
    <t>se realiza un re ajuste, estamos a la espera por aprobacion del cliente</t>
  </si>
  <si>
    <t>Presentación Escape Game - Fontanar.pptx</t>
  </si>
  <si>
    <t>AVIATUR</t>
  </si>
  <si>
    <t xml:space="preserve">DESARROLO DE PROPUESTA DIGITAL - FRANQUICIA ENTE VALIENTES Y TEAM HATER </t>
  </si>
  <si>
    <t>KIMBERLY CLARK</t>
  </si>
  <si>
    <t xml:space="preserve">DESARROLO DE PROPUESTA DIGITAL - FRANQUICIAS CARTAS A MI EX Y LA LUCIERNAGA PARODIAS </t>
  </si>
  <si>
    <t>https://grupoprisa-my.sharepoint.com/:p:/g/personal/juangodoy_est_caracol_com_co/IQAQHCjHLHXeQpGijneN_H5lActlHYQNn5Jhxg8oQL12bn8                          https://grupoprisa-my.sharepoint.com/:p:/g/personal/juangodoy_est_caracol_com_co/IQCZl1yA5ZmPS7yCUZS3T5--AeQJKQE2dQZJJX-atpvHzDg</t>
  </si>
  <si>
    <t>PUNTO RED</t>
  </si>
  <si>
    <t>FRANQUICIA - SE LO EXPLICO CON EXPERTOS</t>
  </si>
  <si>
    <t>PUNTO RED + TROPICANA .pptx</t>
  </si>
  <si>
    <t>TEATRO NACIONAL</t>
  </si>
  <si>
    <t>FRANQUICIA - PARODIAS LA LUCIERNAGA</t>
  </si>
  <si>
    <t xml:space="preserve">Se realizo un ajuste a la propuesta envia, deacurdo a lo conversado con el cliente </t>
  </si>
  <si>
    <t>DALE!</t>
  </si>
  <si>
    <t>Video remoto + Chat IA</t>
  </si>
  <si>
    <t>Elsa Graciliana</t>
  </si>
  <si>
    <t>ZURICH</t>
  </si>
  <si>
    <t>FRANQUICIA - EL RADAR DE VILLAR</t>
  </si>
  <si>
    <t>GRAN ESTACIÓN</t>
  </si>
  <si>
    <t>SUBASTA SMARTPROMO</t>
  </si>
  <si>
    <t>ALKOMPRAR</t>
  </si>
  <si>
    <t>KALLEY</t>
  </si>
  <si>
    <t>RUSHBET</t>
  </si>
  <si>
    <t>DR SIMI</t>
  </si>
  <si>
    <t>VIDEO SECCION LA  LUCIERNGA</t>
  </si>
  <si>
    <t>Luis Alberto 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</si>
</sst>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[$$-240A]\ * #,##0.00_-;\-[$$-240A]\ * #,##0.00_-;_-[$$-240A]\ * &quot;-&quot;??_-;_-@_-"/>
    <numFmt numFmtId="165" formatCode="_-[$$-240A]\ * #,##0_-;\-[$$-240A]\ * #,##0_-;_-[$$-240A]\ * &quot;-&quot;??_-;_-@_-"/>
    <numFmt numFmtId="166" formatCode="_-[$$-240A]\ * #,##0.0_-;\-[$$-240A]\ * #,##0.0_-;_-[$$-240A]\ * &quot;-&quot;??_-;_-@_-"/>
    <numFmt numFmtId="167" formatCode="&quot;$&quot;\ #,##0"/>
    <numFmt numFmtId="168" formatCode="[$$-240A]\ #,##0"/>
  </numFmts>
  <fonts count="19">
    <font>
      <sz val="11"/>
      <color theme="1"/>
      <name val="Aptos Narrow"/>
      <scheme val="minor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  <font>
      <sz val="11"/>
      <name val="Aptos Narrow"/>
      <family val="2"/>
    </font>
    <font>
      <b/>
      <sz val="8"/>
      <color theme="1"/>
      <name val="Century Gothic"/>
      <family val="2"/>
    </font>
    <font>
      <sz val="9"/>
      <color rgb="FFFF0000"/>
      <name val="Century Gothic"/>
      <family val="2"/>
    </font>
    <font>
      <sz val="9"/>
      <color theme="8"/>
      <name val="Century Gothic"/>
      <family val="2"/>
    </font>
    <font>
      <u/>
      <sz val="11"/>
      <color theme="10"/>
      <name val="Aptos Narrow"/>
      <family val="2"/>
      <scheme val="minor"/>
    </font>
    <font>
      <i/>
      <sz val="9"/>
      <color theme="7"/>
      <name val="Century Gothic"/>
      <family val="2"/>
    </font>
    <font>
      <sz val="9"/>
      <color theme="8" tint="0.39997558519241921"/>
      <name val="Century Gothic"/>
      <family val="2"/>
    </font>
    <font>
      <sz val="9"/>
      <color theme="7"/>
      <name val="Century Gothic"/>
      <family val="2"/>
    </font>
    <font>
      <sz val="9"/>
      <color theme="1"/>
      <name val="Century Gothic"/>
    </font>
    <font>
      <sz val="11"/>
      <color rgb="FF242424"/>
      <name val="Aptos Narrow"/>
      <charset val="1"/>
    </font>
    <font>
      <sz val="9"/>
      <color theme="1"/>
      <name val="Poppins"/>
    </font>
    <font>
      <sz val="9"/>
      <color rgb="FF242424"/>
      <name val="Poppins"/>
    </font>
    <font>
      <u/>
      <sz val="9"/>
      <color theme="10"/>
      <name val="Poppins"/>
    </font>
    <font>
      <sz val="9"/>
      <color rgb="FF000000"/>
      <name val="Poppins"/>
    </font>
    <font>
      <sz val="9"/>
      <name val="Poppins"/>
    </font>
    <font>
      <u/>
      <sz val="9"/>
      <color theme="1"/>
      <name val="Poppins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</fills>
  <borders count="106">
    <border>
      <left/>
      <right/>
      <top/>
      <bottom/>
      <diagonal/>
    </border>
    <border>
      <left style="medium">
        <color rgb="FF00B050"/>
      </left>
      <right/>
      <top style="medium">
        <color rgb="FF00B050"/>
      </top>
      <bottom style="thin">
        <color rgb="FF00B050"/>
      </bottom>
      <diagonal/>
    </border>
    <border>
      <left/>
      <right/>
      <top style="medium">
        <color rgb="FF00B050"/>
      </top>
      <bottom style="thin">
        <color rgb="FF00B050"/>
      </bottom>
      <diagonal/>
    </border>
    <border>
      <left/>
      <right style="medium">
        <color rgb="FF00B050"/>
      </right>
      <top style="medium">
        <color rgb="FF00B050"/>
      </top>
      <bottom style="thin">
        <color rgb="FF00B050"/>
      </bottom>
      <diagonal/>
    </border>
    <border>
      <left style="medium">
        <color rgb="FF00B0F0"/>
      </left>
      <right/>
      <top style="medium">
        <color rgb="FF00B0F0"/>
      </top>
      <bottom style="thin">
        <color rgb="FF00B0F0"/>
      </bottom>
      <diagonal/>
    </border>
    <border>
      <left/>
      <right/>
      <top style="medium">
        <color rgb="FF00B0F0"/>
      </top>
      <bottom style="thin">
        <color rgb="FF00B0F0"/>
      </bottom>
      <diagonal/>
    </border>
    <border>
      <left/>
      <right style="medium">
        <color rgb="FF00B0F0"/>
      </right>
      <top style="medium">
        <color rgb="FF00B0F0"/>
      </top>
      <bottom style="thin">
        <color rgb="FF00B0F0"/>
      </bottom>
      <diagonal/>
    </border>
    <border>
      <left style="medium">
        <color rgb="FF7030A0"/>
      </left>
      <right/>
      <top style="medium">
        <color rgb="FF7030A0"/>
      </top>
      <bottom style="thin">
        <color rgb="FF7030A0"/>
      </bottom>
      <diagonal/>
    </border>
    <border>
      <left/>
      <right/>
      <top style="medium">
        <color rgb="FF7030A0"/>
      </top>
      <bottom style="thin">
        <color rgb="FF7030A0"/>
      </bottom>
      <diagonal/>
    </border>
    <border>
      <left/>
      <right style="medium">
        <color rgb="FF7030A0"/>
      </right>
      <top style="medium">
        <color rgb="FF7030A0"/>
      </top>
      <bottom style="thin">
        <color rgb="FF7030A0"/>
      </bottom>
      <diagonal/>
    </border>
    <border>
      <left style="medium">
        <color rgb="FFE345AE"/>
      </left>
      <right/>
      <top style="medium">
        <color rgb="FFE345AE"/>
      </top>
      <bottom style="thin">
        <color rgb="FFE345AE"/>
      </bottom>
      <diagonal/>
    </border>
    <border>
      <left/>
      <right/>
      <top style="medium">
        <color rgb="FFE345AE"/>
      </top>
      <bottom style="thin">
        <color rgb="FFE345AE"/>
      </bottom>
      <diagonal/>
    </border>
    <border>
      <left/>
      <right style="medium">
        <color rgb="FFE345AE"/>
      </right>
      <top style="medium">
        <color rgb="FFE345AE"/>
      </top>
      <bottom style="thin">
        <color rgb="FFE345AE"/>
      </bottom>
      <diagonal/>
    </border>
    <border>
      <left style="medium">
        <color rgb="FFFB6715"/>
      </left>
      <right/>
      <top style="medium">
        <color rgb="FFFB6715"/>
      </top>
      <bottom style="thin">
        <color rgb="FFFB6715"/>
      </bottom>
      <diagonal/>
    </border>
    <border>
      <left/>
      <right/>
      <top style="medium">
        <color rgb="FFFB6715"/>
      </top>
      <bottom style="thin">
        <color rgb="FFFB6715"/>
      </bottom>
      <diagonal/>
    </border>
    <border>
      <left/>
      <right style="medium">
        <color rgb="FFFB6715"/>
      </right>
      <top style="medium">
        <color rgb="FFFB6715"/>
      </top>
      <bottom style="thin">
        <color rgb="FFFB6715"/>
      </bottom>
      <diagonal/>
    </border>
    <border>
      <left style="medium">
        <color rgb="FF00B050"/>
      </left>
      <right/>
      <top style="thin">
        <color rgb="FF00B050"/>
      </top>
      <bottom style="thin">
        <color rgb="FF00B050"/>
      </bottom>
      <diagonal/>
    </border>
    <border>
      <left/>
      <right/>
      <top style="thin">
        <color rgb="FF00B050"/>
      </top>
      <bottom style="thin">
        <color rgb="FF00B050"/>
      </bottom>
      <diagonal/>
    </border>
    <border>
      <left/>
      <right style="medium">
        <color rgb="FF00B050"/>
      </right>
      <top style="thin">
        <color rgb="FF00B050"/>
      </top>
      <bottom style="thin">
        <color rgb="FF00B050"/>
      </bottom>
      <diagonal/>
    </border>
    <border>
      <left style="medium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medium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rgb="FF7030A0"/>
      </left>
      <right/>
      <top style="thin">
        <color rgb="FF7030A0"/>
      </top>
      <bottom style="thin">
        <color rgb="FF7030A0"/>
      </bottom>
      <diagonal/>
    </border>
    <border>
      <left/>
      <right/>
      <top style="thin">
        <color rgb="FF7030A0"/>
      </top>
      <bottom style="thin">
        <color rgb="FF7030A0"/>
      </bottom>
      <diagonal/>
    </border>
    <border>
      <left/>
      <right style="medium">
        <color rgb="FF7030A0"/>
      </right>
      <top style="thin">
        <color rgb="FF7030A0"/>
      </top>
      <bottom style="thin">
        <color rgb="FF7030A0"/>
      </bottom>
      <diagonal/>
    </border>
    <border>
      <left style="medium">
        <color rgb="FFE345AE"/>
      </left>
      <right/>
      <top style="thin">
        <color rgb="FFE345AE"/>
      </top>
      <bottom style="thin">
        <color rgb="FFE345AE"/>
      </bottom>
      <diagonal/>
    </border>
    <border>
      <left/>
      <right/>
      <top style="thin">
        <color rgb="FFE345AE"/>
      </top>
      <bottom style="thin">
        <color rgb="FFE345AE"/>
      </bottom>
      <diagonal/>
    </border>
    <border>
      <left/>
      <right style="medium">
        <color rgb="FFE345AE"/>
      </right>
      <top style="thin">
        <color rgb="FFE345AE"/>
      </top>
      <bottom style="thin">
        <color rgb="FFE345AE"/>
      </bottom>
      <diagonal/>
    </border>
    <border>
      <left style="medium">
        <color rgb="FFFB6715"/>
      </left>
      <right/>
      <top style="thin">
        <color rgb="FFFB6715"/>
      </top>
      <bottom style="thin">
        <color rgb="FFFB6715"/>
      </bottom>
      <diagonal/>
    </border>
    <border>
      <left/>
      <right/>
      <top style="thin">
        <color rgb="FFFB6715"/>
      </top>
      <bottom style="thin">
        <color rgb="FFFB6715"/>
      </bottom>
      <diagonal/>
    </border>
    <border>
      <left/>
      <right style="medium">
        <color rgb="FFFB6715"/>
      </right>
      <top style="thin">
        <color rgb="FFFB6715"/>
      </top>
      <bottom style="thin">
        <color rgb="FFFB6715"/>
      </bottom>
      <diagonal/>
    </border>
    <border>
      <left style="medium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medium">
        <color rgb="FF00B050"/>
      </right>
      <top style="thin">
        <color rgb="FF00B050"/>
      </top>
      <bottom style="thin">
        <color rgb="FF00B050"/>
      </bottom>
      <diagonal/>
    </border>
    <border>
      <left style="medium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medium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medium">
        <color rgb="FF7030A0"/>
      </right>
      <top style="thin">
        <color rgb="FF7030A0"/>
      </top>
      <bottom style="thin">
        <color rgb="FF7030A0"/>
      </bottom>
      <diagonal/>
    </border>
    <border>
      <left style="medium">
        <color rgb="FFE345AE"/>
      </left>
      <right style="thin">
        <color rgb="FFE345AE"/>
      </right>
      <top style="thin">
        <color rgb="FFE345AE"/>
      </top>
      <bottom style="thin">
        <color rgb="FFE345AE"/>
      </bottom>
      <diagonal/>
    </border>
    <border>
      <left style="thin">
        <color rgb="FFE345AE"/>
      </left>
      <right style="thin">
        <color rgb="FFE345AE"/>
      </right>
      <top style="thin">
        <color rgb="FFE345AE"/>
      </top>
      <bottom style="thin">
        <color rgb="FFE345AE"/>
      </bottom>
      <diagonal/>
    </border>
    <border>
      <left style="thin">
        <color rgb="FFE345AE"/>
      </left>
      <right style="medium">
        <color rgb="FFE345AE"/>
      </right>
      <top style="thin">
        <color rgb="FFE345AE"/>
      </top>
      <bottom style="thin">
        <color rgb="FFE345AE"/>
      </bottom>
      <diagonal/>
    </border>
    <border>
      <left style="medium">
        <color rgb="FFFB6715"/>
      </left>
      <right style="thin">
        <color rgb="FFFB6715"/>
      </right>
      <top style="thin">
        <color rgb="FFFB6715"/>
      </top>
      <bottom style="thin">
        <color rgb="FFFB6715"/>
      </bottom>
      <diagonal/>
    </border>
    <border>
      <left style="thin">
        <color rgb="FFFB6715"/>
      </left>
      <right style="thin">
        <color rgb="FFFB6715"/>
      </right>
      <top style="thin">
        <color rgb="FFFB6715"/>
      </top>
      <bottom style="thin">
        <color rgb="FFFB6715"/>
      </bottom>
      <diagonal/>
    </border>
    <border>
      <left style="thin">
        <color rgb="FFFB6715"/>
      </left>
      <right style="medium">
        <color rgb="FFFB6715"/>
      </right>
      <top style="thin">
        <color rgb="FFFB6715"/>
      </top>
      <bottom style="thin">
        <color rgb="FFFB6715"/>
      </bottom>
      <diagonal/>
    </border>
    <border>
      <left style="medium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medium">
        <color rgb="FF00B0F0"/>
      </right>
      <top style="thin">
        <color rgb="FF00B0F0"/>
      </top>
      <bottom/>
      <diagonal/>
    </border>
    <border>
      <left style="medium">
        <color rgb="FF00B0F0"/>
      </left>
      <right style="thin">
        <color rgb="FF00B0F0"/>
      </right>
      <top style="medium">
        <color rgb="FF00B0F0"/>
      </top>
      <bottom style="thin">
        <color rgb="FF00B0F0"/>
      </bottom>
      <diagonal/>
    </border>
    <border>
      <left style="thin">
        <color rgb="FF00B0F0"/>
      </left>
      <right/>
      <top style="medium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medium">
        <color rgb="FF7030A0"/>
      </left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 style="medium">
        <color rgb="FF7030A0"/>
      </right>
      <top style="thin">
        <color rgb="FF7030A0"/>
      </top>
      <bottom/>
      <diagonal/>
    </border>
    <border>
      <left style="medium">
        <color rgb="FF7030A0"/>
      </left>
      <right style="thin">
        <color rgb="FF7030A0"/>
      </right>
      <top style="medium">
        <color rgb="FF7030A0"/>
      </top>
      <bottom style="thin">
        <color rgb="FF7030A0"/>
      </bottom>
      <diagonal/>
    </border>
    <border>
      <left style="thin">
        <color rgb="FF7030A0"/>
      </left>
      <right/>
      <top style="medium">
        <color rgb="FF7030A0"/>
      </top>
      <bottom style="thin">
        <color rgb="FF7030A0"/>
      </bottom>
      <diagonal/>
    </border>
    <border>
      <left style="medium">
        <color rgb="FFFB6715"/>
      </left>
      <right style="thin">
        <color rgb="FFFB6715"/>
      </right>
      <top style="thin">
        <color rgb="FFFB6715"/>
      </top>
      <bottom/>
      <diagonal/>
    </border>
    <border>
      <left style="thin">
        <color rgb="FFFB6715"/>
      </left>
      <right style="thin">
        <color rgb="FFFB6715"/>
      </right>
      <top style="thin">
        <color rgb="FFFB6715"/>
      </top>
      <bottom/>
      <diagonal/>
    </border>
    <border>
      <left style="thin">
        <color rgb="FFFB6715"/>
      </left>
      <right style="medium">
        <color rgb="FFFB6715"/>
      </right>
      <top style="thin">
        <color rgb="FFFB6715"/>
      </top>
      <bottom/>
      <diagonal/>
    </border>
    <border>
      <left style="thin">
        <color rgb="FF7030A0"/>
      </left>
      <right/>
      <top style="thin">
        <color rgb="FF7030A0"/>
      </top>
      <bottom style="thin">
        <color rgb="FF7030A0"/>
      </bottom>
      <diagonal/>
    </border>
    <border>
      <left style="medium">
        <color rgb="FFFB6715"/>
      </left>
      <right style="thin">
        <color rgb="FFFB6715"/>
      </right>
      <top style="medium">
        <color rgb="FFFB6715"/>
      </top>
      <bottom style="thin">
        <color rgb="FFFB6715"/>
      </bottom>
      <diagonal/>
    </border>
    <border>
      <left style="thin">
        <color rgb="FFFB6715"/>
      </left>
      <right/>
      <top style="medium">
        <color rgb="FFFB6715"/>
      </top>
      <bottom style="thin">
        <color rgb="FFFB6715"/>
      </bottom>
      <diagonal/>
    </border>
    <border>
      <left style="thin">
        <color rgb="FFFB6715"/>
      </left>
      <right/>
      <top style="thin">
        <color rgb="FFFB6715"/>
      </top>
      <bottom style="thin">
        <color rgb="FFFB6715"/>
      </bottom>
      <diagonal/>
    </border>
    <border>
      <left style="medium">
        <color rgb="FF00B0F0"/>
      </left>
      <right style="thin">
        <color rgb="FF00B0F0"/>
      </right>
      <top style="thin">
        <color rgb="FF00B0F0"/>
      </top>
      <bottom style="medium">
        <color rgb="FF00B0F0"/>
      </bottom>
      <diagonal/>
    </border>
    <border>
      <left style="thin">
        <color rgb="FF00B0F0"/>
      </left>
      <right/>
      <top style="thin">
        <color rgb="FF00B0F0"/>
      </top>
      <bottom style="medium">
        <color rgb="FF00B0F0"/>
      </bottom>
      <diagonal/>
    </border>
    <border>
      <left/>
      <right/>
      <top style="thin">
        <color rgb="FF00B0F0"/>
      </top>
      <bottom style="medium">
        <color rgb="FF00B0F0"/>
      </bottom>
      <diagonal/>
    </border>
    <border>
      <left/>
      <right style="medium">
        <color rgb="FF00B0F0"/>
      </right>
      <top style="thin">
        <color rgb="FF00B0F0"/>
      </top>
      <bottom style="medium">
        <color rgb="FF00B0F0"/>
      </bottom>
      <diagonal/>
    </border>
    <border>
      <left style="medium">
        <color rgb="FF7030A0"/>
      </left>
      <right style="thin">
        <color rgb="FF7030A0"/>
      </right>
      <top style="thin">
        <color rgb="FF7030A0"/>
      </top>
      <bottom style="medium">
        <color rgb="FF7030A0"/>
      </bottom>
      <diagonal/>
    </border>
    <border>
      <left style="thin">
        <color rgb="FF7030A0"/>
      </left>
      <right/>
      <top style="thin">
        <color rgb="FF7030A0"/>
      </top>
      <bottom style="medium">
        <color rgb="FF7030A0"/>
      </bottom>
      <diagonal/>
    </border>
    <border>
      <left/>
      <right/>
      <top style="thin">
        <color rgb="FF7030A0"/>
      </top>
      <bottom style="medium">
        <color rgb="FF7030A0"/>
      </bottom>
      <diagonal/>
    </border>
    <border>
      <left/>
      <right style="medium">
        <color rgb="FF7030A0"/>
      </right>
      <top style="thin">
        <color rgb="FF7030A0"/>
      </top>
      <bottom style="medium">
        <color rgb="FF7030A0"/>
      </bottom>
      <diagonal/>
    </border>
    <border>
      <left style="medium">
        <color rgb="FFFB6715"/>
      </left>
      <right style="thin">
        <color rgb="FFFB6715"/>
      </right>
      <top style="thin">
        <color rgb="FFFB6715"/>
      </top>
      <bottom style="medium">
        <color rgb="FFFB6715"/>
      </bottom>
      <diagonal/>
    </border>
    <border>
      <left style="thin">
        <color rgb="FFFB6715"/>
      </left>
      <right/>
      <top style="thin">
        <color rgb="FFFB6715"/>
      </top>
      <bottom style="medium">
        <color rgb="FFFB6715"/>
      </bottom>
      <diagonal/>
    </border>
    <border>
      <left/>
      <right/>
      <top style="thin">
        <color rgb="FFFB6715"/>
      </top>
      <bottom style="medium">
        <color rgb="FFFB6715"/>
      </bottom>
      <diagonal/>
    </border>
    <border>
      <left/>
      <right style="medium">
        <color rgb="FFFB6715"/>
      </right>
      <top style="thin">
        <color rgb="FFFB6715"/>
      </top>
      <bottom style="medium">
        <color rgb="FFFB6715"/>
      </bottom>
      <diagonal/>
    </border>
    <border>
      <left style="medium">
        <color rgb="FF00B050"/>
      </left>
      <right style="thin">
        <color rgb="FF00B050"/>
      </right>
      <top style="thin">
        <color rgb="FF00B050"/>
      </top>
      <bottom/>
      <diagonal/>
    </border>
    <border>
      <left style="thin">
        <color rgb="FF00B050"/>
      </left>
      <right style="thin">
        <color rgb="FF00B050"/>
      </right>
      <top style="thin">
        <color rgb="FF00B050"/>
      </top>
      <bottom/>
      <diagonal/>
    </border>
    <border>
      <left style="thin">
        <color rgb="FF00B050"/>
      </left>
      <right style="medium">
        <color rgb="FF00B050"/>
      </right>
      <top style="thin">
        <color rgb="FF00B050"/>
      </top>
      <bottom/>
      <diagonal/>
    </border>
    <border>
      <left style="medium">
        <color rgb="FF00B050"/>
      </left>
      <right style="thin">
        <color rgb="FF00B050"/>
      </right>
      <top style="medium">
        <color rgb="FF00B050"/>
      </top>
      <bottom style="thin">
        <color rgb="FF00B050"/>
      </bottom>
      <diagonal/>
    </border>
    <border>
      <left style="thin">
        <color rgb="FF00B050"/>
      </left>
      <right/>
      <top style="medium">
        <color rgb="FF00B050"/>
      </top>
      <bottom style="thin">
        <color rgb="FF00B050"/>
      </bottom>
      <diagonal/>
    </border>
    <border>
      <left style="thin">
        <color rgb="FF00B050"/>
      </left>
      <right/>
      <top style="thin">
        <color rgb="FF00B050"/>
      </top>
      <bottom style="thin">
        <color rgb="FF00B050"/>
      </bottom>
      <diagonal/>
    </border>
    <border>
      <left style="medium">
        <color rgb="FFE345AE"/>
      </left>
      <right style="thin">
        <color rgb="FFE345AE"/>
      </right>
      <top style="thin">
        <color rgb="FFE345AE"/>
      </top>
      <bottom/>
      <diagonal/>
    </border>
    <border>
      <left style="thin">
        <color rgb="FFE345AE"/>
      </left>
      <right style="thin">
        <color rgb="FFE345AE"/>
      </right>
      <top style="thin">
        <color rgb="FFE345AE"/>
      </top>
      <bottom/>
      <diagonal/>
    </border>
    <border>
      <left style="thin">
        <color rgb="FFE345AE"/>
      </left>
      <right style="medium">
        <color rgb="FFE345AE"/>
      </right>
      <top style="thin">
        <color rgb="FFE345AE"/>
      </top>
      <bottom/>
      <diagonal/>
    </border>
    <border>
      <left style="medium">
        <color rgb="FFE345AE"/>
      </left>
      <right style="thin">
        <color rgb="FFE345AE"/>
      </right>
      <top style="medium">
        <color rgb="FFE345AE"/>
      </top>
      <bottom style="thin">
        <color rgb="FFE345AE"/>
      </bottom>
      <diagonal/>
    </border>
    <border>
      <left style="thin">
        <color rgb="FFE345AE"/>
      </left>
      <right/>
      <top style="medium">
        <color rgb="FFE345AE"/>
      </top>
      <bottom style="thin">
        <color rgb="FFE345AE"/>
      </bottom>
      <diagonal/>
    </border>
    <border>
      <left style="thin">
        <color rgb="FFE345AE"/>
      </left>
      <right/>
      <top style="thin">
        <color rgb="FFE345AE"/>
      </top>
      <bottom style="thin">
        <color rgb="FFE345AE"/>
      </bottom>
      <diagonal/>
    </border>
    <border>
      <left style="medium">
        <color rgb="FF00B050"/>
      </left>
      <right style="thin">
        <color rgb="FF00B050"/>
      </right>
      <top style="thin">
        <color rgb="FF00B050"/>
      </top>
      <bottom style="medium">
        <color rgb="FF00B050"/>
      </bottom>
      <diagonal/>
    </border>
    <border>
      <left style="thin">
        <color rgb="FF00B050"/>
      </left>
      <right/>
      <top style="thin">
        <color rgb="FF00B050"/>
      </top>
      <bottom style="medium">
        <color rgb="FF00B050"/>
      </bottom>
      <diagonal/>
    </border>
    <border>
      <left/>
      <right/>
      <top style="thin">
        <color rgb="FF00B050"/>
      </top>
      <bottom style="medium">
        <color rgb="FF00B050"/>
      </bottom>
      <diagonal/>
    </border>
    <border>
      <left/>
      <right style="medium">
        <color rgb="FF00B050"/>
      </right>
      <top style="thin">
        <color rgb="FF00B050"/>
      </top>
      <bottom style="medium">
        <color rgb="FF00B050"/>
      </bottom>
      <diagonal/>
    </border>
    <border>
      <left style="medium">
        <color rgb="FFE345AE"/>
      </left>
      <right style="thin">
        <color rgb="FFE345AE"/>
      </right>
      <top style="thin">
        <color rgb="FFE345AE"/>
      </top>
      <bottom style="medium">
        <color rgb="FFE345AE"/>
      </bottom>
      <diagonal/>
    </border>
    <border>
      <left style="thin">
        <color rgb="FFE345AE"/>
      </left>
      <right/>
      <top style="thin">
        <color rgb="FFE345AE"/>
      </top>
      <bottom style="medium">
        <color rgb="FFE345AE"/>
      </bottom>
      <diagonal/>
    </border>
    <border>
      <left/>
      <right/>
      <top style="thin">
        <color rgb="FFE345AE"/>
      </top>
      <bottom style="medium">
        <color rgb="FFE345AE"/>
      </bottom>
      <diagonal/>
    </border>
    <border>
      <left/>
      <right style="medium">
        <color rgb="FFE345AE"/>
      </right>
      <top style="thin">
        <color rgb="FFE345AE"/>
      </top>
      <bottom style="medium">
        <color rgb="FFE345A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31" xfId="0" applyFont="1" applyBorder="1"/>
    <xf numFmtId="0" fontId="2" fillId="0" borderId="32" xfId="0" applyFont="1" applyBorder="1" applyAlignment="1">
      <alignment vertical="center" wrapText="1"/>
    </xf>
    <xf numFmtId="0" fontId="2" fillId="0" borderId="33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34" xfId="0" applyFont="1" applyBorder="1"/>
    <xf numFmtId="0" fontId="2" fillId="0" borderId="35" xfId="0" applyFont="1" applyBorder="1" applyAlignment="1">
      <alignment vertical="center" wrapText="1"/>
    </xf>
    <xf numFmtId="0" fontId="2" fillId="0" borderId="36" xfId="0" applyFont="1" applyBorder="1" applyAlignment="1">
      <alignment vertical="center" wrapText="1"/>
    </xf>
    <xf numFmtId="0" fontId="2" fillId="0" borderId="37" xfId="0" applyFont="1" applyBorder="1"/>
    <xf numFmtId="0" fontId="2" fillId="0" borderId="38" xfId="0" applyFont="1" applyBorder="1" applyAlignment="1">
      <alignment vertical="center" wrapText="1"/>
    </xf>
    <xf numFmtId="0" fontId="2" fillId="0" borderId="39" xfId="0" applyFont="1" applyBorder="1" applyAlignment="1">
      <alignment vertical="center" wrapText="1"/>
    </xf>
    <xf numFmtId="0" fontId="2" fillId="0" borderId="40" xfId="0" applyFont="1" applyBorder="1"/>
    <xf numFmtId="0" fontId="2" fillId="0" borderId="41" xfId="0" applyFont="1" applyBorder="1" applyAlignment="1">
      <alignment vertical="center" wrapText="1"/>
    </xf>
    <xf numFmtId="0" fontId="2" fillId="0" borderId="42" xfId="0" applyFont="1" applyBorder="1" applyAlignment="1">
      <alignment vertical="center" wrapText="1"/>
    </xf>
    <xf numFmtId="0" fontId="2" fillId="0" borderId="43" xfId="0" applyFont="1" applyBorder="1"/>
    <xf numFmtId="0" fontId="2" fillId="0" borderId="44" xfId="0" applyFont="1" applyBorder="1" applyAlignment="1">
      <alignment vertical="center" wrapText="1"/>
    </xf>
    <xf numFmtId="0" fontId="2" fillId="0" borderId="45" xfId="0" applyFont="1" applyBorder="1" applyAlignment="1">
      <alignment vertical="center" wrapText="1"/>
    </xf>
    <xf numFmtId="0" fontId="1" fillId="0" borderId="31" xfId="0" applyFont="1" applyBorder="1"/>
    <xf numFmtId="0" fontId="1" fillId="0" borderId="32" xfId="0" applyFont="1" applyBorder="1" applyAlignment="1">
      <alignment vertical="center" wrapText="1"/>
    </xf>
    <xf numFmtId="0" fontId="1" fillId="0" borderId="32" xfId="0" applyFont="1" applyBorder="1"/>
    <xf numFmtId="0" fontId="1" fillId="0" borderId="33" xfId="0" applyFont="1" applyBorder="1"/>
    <xf numFmtId="0" fontId="1" fillId="0" borderId="34" xfId="0" applyFont="1" applyBorder="1"/>
    <xf numFmtId="0" fontId="1" fillId="0" borderId="35" xfId="0" applyFont="1" applyBorder="1"/>
    <xf numFmtId="0" fontId="1" fillId="0" borderId="35" xfId="0" applyFont="1" applyBorder="1" applyAlignment="1">
      <alignment vertical="center" wrapText="1"/>
    </xf>
    <xf numFmtId="0" fontId="1" fillId="0" borderId="36" xfId="0" applyFont="1" applyBorder="1"/>
    <xf numFmtId="0" fontId="1" fillId="0" borderId="37" xfId="0" applyFont="1" applyBorder="1" applyAlignment="1">
      <alignment vertical="center" wrapText="1"/>
    </xf>
    <xf numFmtId="0" fontId="1" fillId="0" borderId="38" xfId="0" applyFont="1" applyBorder="1" applyAlignment="1">
      <alignment vertical="center" wrapText="1"/>
    </xf>
    <xf numFmtId="0" fontId="1" fillId="0" borderId="39" xfId="0" applyFont="1" applyBorder="1" applyAlignment="1">
      <alignment vertical="center" wrapText="1"/>
    </xf>
    <xf numFmtId="0" fontId="1" fillId="0" borderId="40" xfId="0" applyFont="1" applyBorder="1" applyAlignment="1">
      <alignment vertical="center" wrapText="1"/>
    </xf>
    <xf numFmtId="0" fontId="1" fillId="0" borderId="41" xfId="0" applyFont="1" applyBorder="1" applyAlignment="1">
      <alignment vertical="center" wrapText="1"/>
    </xf>
    <xf numFmtId="0" fontId="1" fillId="0" borderId="42" xfId="0" applyFont="1" applyBorder="1" applyAlignment="1">
      <alignment vertical="center" wrapText="1"/>
    </xf>
    <xf numFmtId="0" fontId="1" fillId="0" borderId="43" xfId="0" applyFont="1" applyBorder="1" applyAlignment="1">
      <alignment vertical="center" wrapText="1"/>
    </xf>
    <xf numFmtId="0" fontId="1" fillId="0" borderId="44" xfId="0" applyFont="1" applyBorder="1" applyAlignment="1">
      <alignment vertical="center" wrapText="1"/>
    </xf>
    <xf numFmtId="0" fontId="1" fillId="0" borderId="45" xfId="0" applyFont="1" applyBorder="1"/>
    <xf numFmtId="0" fontId="1" fillId="0" borderId="33" xfId="0" applyFont="1" applyBorder="1" applyAlignment="1">
      <alignment vertical="center" wrapText="1"/>
    </xf>
    <xf numFmtId="0" fontId="1" fillId="0" borderId="34" xfId="0" applyFont="1" applyBorder="1" applyAlignment="1">
      <alignment vertical="center" wrapText="1"/>
    </xf>
    <xf numFmtId="0" fontId="1" fillId="0" borderId="36" xfId="0" applyFont="1" applyBorder="1" applyAlignment="1">
      <alignment vertical="center" wrapText="1"/>
    </xf>
    <xf numFmtId="0" fontId="1" fillId="0" borderId="46" xfId="0" applyFont="1" applyBorder="1" applyAlignment="1">
      <alignment vertical="center" wrapText="1"/>
    </xf>
    <xf numFmtId="0" fontId="1" fillId="0" borderId="47" xfId="0" applyFont="1" applyBorder="1" applyAlignment="1">
      <alignment vertical="center" wrapText="1"/>
    </xf>
    <xf numFmtId="0" fontId="1" fillId="0" borderId="48" xfId="0" applyFont="1" applyBorder="1" applyAlignment="1">
      <alignment vertical="center" wrapText="1"/>
    </xf>
    <xf numFmtId="0" fontId="1" fillId="0" borderId="44" xfId="0" applyFont="1" applyBorder="1" applyAlignment="1">
      <alignment horizontal="center" wrapText="1"/>
    </xf>
    <xf numFmtId="0" fontId="4" fillId="0" borderId="49" xfId="0" applyFont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6" fillId="0" borderId="37" xfId="0" applyFont="1" applyBorder="1" applyAlignment="1">
      <alignment vertical="center" wrapText="1"/>
    </xf>
    <xf numFmtId="0" fontId="5" fillId="0" borderId="40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43" xfId="0" applyFont="1" applyBorder="1" applyAlignment="1">
      <alignment vertical="center" wrapText="1"/>
    </xf>
    <xf numFmtId="0" fontId="1" fillId="0" borderId="44" xfId="0" applyFont="1" applyBorder="1" applyAlignment="1">
      <alignment vertical="top" wrapText="1"/>
    </xf>
    <xf numFmtId="0" fontId="4" fillId="0" borderId="34" xfId="0" applyFont="1" applyBorder="1" applyAlignment="1">
      <alignment vertical="center" wrapText="1"/>
    </xf>
    <xf numFmtId="0" fontId="1" fillId="0" borderId="52" xfId="0" applyFont="1" applyBorder="1" applyAlignment="1">
      <alignment vertical="center" wrapText="1"/>
    </xf>
    <xf numFmtId="0" fontId="1" fillId="0" borderId="53" xfId="0" applyFont="1" applyBorder="1" applyAlignment="1">
      <alignment vertical="center" wrapText="1"/>
    </xf>
    <xf numFmtId="0" fontId="1" fillId="0" borderId="54" xfId="0" applyFont="1" applyBorder="1" applyAlignment="1">
      <alignment vertical="center" wrapText="1"/>
    </xf>
    <xf numFmtId="0" fontId="1" fillId="0" borderId="44" xfId="0" applyFont="1" applyBorder="1" applyAlignment="1">
      <alignment wrapText="1"/>
    </xf>
    <xf numFmtId="0" fontId="4" fillId="0" borderId="55" xfId="0" applyFont="1" applyBorder="1" applyAlignment="1">
      <alignment vertical="center" wrapText="1"/>
    </xf>
    <xf numFmtId="0" fontId="1" fillId="0" borderId="57" xfId="0" applyFont="1" applyBorder="1" applyAlignment="1">
      <alignment vertical="center" wrapText="1"/>
    </xf>
    <xf numFmtId="0" fontId="1" fillId="0" borderId="58" xfId="0" applyFont="1" applyBorder="1" applyAlignment="1">
      <alignment vertical="center" wrapText="1"/>
    </xf>
    <xf numFmtId="0" fontId="1" fillId="0" borderId="58" xfId="0" applyFont="1" applyBorder="1"/>
    <xf numFmtId="0" fontId="1" fillId="0" borderId="59" xfId="0" applyFont="1" applyBorder="1"/>
    <xf numFmtId="0" fontId="4" fillId="0" borderId="37" xfId="0" applyFont="1" applyBorder="1" applyAlignment="1">
      <alignment vertical="center" wrapText="1"/>
    </xf>
    <xf numFmtId="0" fontId="4" fillId="0" borderId="61" xfId="0" applyFont="1" applyBorder="1" applyAlignment="1">
      <alignment vertical="center" wrapText="1"/>
    </xf>
    <xf numFmtId="0" fontId="4" fillId="0" borderId="43" xfId="0" applyFont="1" applyBorder="1" applyAlignment="1">
      <alignment vertical="center" wrapText="1"/>
    </xf>
    <xf numFmtId="0" fontId="4" fillId="0" borderId="64" xfId="0" applyFont="1" applyBorder="1" applyAlignment="1">
      <alignment vertical="center" wrapText="1"/>
    </xf>
    <xf numFmtId="0" fontId="1" fillId="0" borderId="40" xfId="0" applyFont="1" applyBorder="1"/>
    <xf numFmtId="0" fontId="1" fillId="0" borderId="41" xfId="0" applyFont="1" applyBorder="1"/>
    <xf numFmtId="0" fontId="1" fillId="0" borderId="42" xfId="0" applyFont="1" applyBorder="1"/>
    <xf numFmtId="0" fontId="4" fillId="0" borderId="68" xfId="0" applyFont="1" applyBorder="1" applyAlignment="1">
      <alignment vertical="center" wrapText="1"/>
    </xf>
    <xf numFmtId="0" fontId="1" fillId="0" borderId="41" xfId="0" applyFont="1" applyBorder="1" applyAlignment="1">
      <alignment wrapText="1"/>
    </xf>
    <xf numFmtId="0" fontId="4" fillId="0" borderId="72" xfId="0" applyFont="1" applyBorder="1" applyAlignment="1">
      <alignment vertical="center" wrapText="1"/>
    </xf>
    <xf numFmtId="0" fontId="1" fillId="0" borderId="76" xfId="0" applyFont="1" applyBorder="1"/>
    <xf numFmtId="0" fontId="2" fillId="0" borderId="77" xfId="0" applyFont="1" applyBorder="1" applyAlignment="1">
      <alignment vertical="center" wrapText="1"/>
    </xf>
    <xf numFmtId="0" fontId="1" fillId="0" borderId="77" xfId="0" applyFont="1" applyBorder="1" applyAlignment="1">
      <alignment vertical="center" wrapText="1"/>
    </xf>
    <xf numFmtId="0" fontId="1" fillId="0" borderId="78" xfId="0" applyFont="1" applyBorder="1" applyAlignment="1">
      <alignment vertical="center" wrapText="1"/>
    </xf>
    <xf numFmtId="0" fontId="4" fillId="0" borderId="79" xfId="0" applyFont="1" applyBorder="1" applyAlignment="1">
      <alignment vertical="center" wrapText="1"/>
    </xf>
    <xf numFmtId="0" fontId="4" fillId="0" borderId="31" xfId="0" applyFont="1" applyBorder="1" applyAlignment="1">
      <alignment vertical="center" wrapText="1"/>
    </xf>
    <xf numFmtId="0" fontId="1" fillId="0" borderId="82" xfId="0" applyFont="1" applyBorder="1"/>
    <xf numFmtId="0" fontId="1" fillId="0" borderId="83" xfId="0" applyFont="1" applyBorder="1"/>
    <xf numFmtId="0" fontId="1" fillId="0" borderId="84" xfId="0" applyFont="1" applyBorder="1"/>
    <xf numFmtId="0" fontId="2" fillId="0" borderId="85" xfId="0" applyFont="1" applyBorder="1" applyAlignment="1">
      <alignment vertical="center" wrapText="1"/>
    </xf>
    <xf numFmtId="0" fontId="4" fillId="0" borderId="40" xfId="0" applyFont="1" applyBorder="1" applyAlignment="1">
      <alignment vertical="center" wrapText="1"/>
    </xf>
    <xf numFmtId="0" fontId="4" fillId="0" borderId="88" xfId="0" applyFont="1" applyBorder="1" applyAlignment="1">
      <alignment vertical="center" wrapText="1"/>
    </xf>
    <xf numFmtId="0" fontId="4" fillId="0" borderId="92" xfId="0" applyFont="1" applyBorder="1" applyAlignment="1">
      <alignment vertical="center" wrapText="1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8" fillId="0" borderId="0" xfId="0" applyFont="1" applyAlignment="1">
      <alignment wrapText="1"/>
    </xf>
    <xf numFmtId="0" fontId="9" fillId="2" borderId="0" xfId="0" applyFont="1" applyFill="1" applyAlignment="1">
      <alignment wrapText="1"/>
    </xf>
    <xf numFmtId="0" fontId="10" fillId="2" borderId="0" xfId="0" applyFont="1" applyFill="1" applyAlignment="1">
      <alignment wrapText="1"/>
    </xf>
    <xf numFmtId="0" fontId="10" fillId="2" borderId="0" xfId="0" applyFont="1" applyFill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0" applyNumberFormat="1"/>
    <xf numFmtId="0" fontId="0" fillId="0" borderId="0" xfId="0" applyAlignment="1">
      <alignment horizontal="left" indent="2"/>
    </xf>
    <xf numFmtId="0" fontId="11" fillId="2" borderId="0" xfId="0" applyFont="1" applyFill="1" applyAlignment="1">
      <alignment wrapText="1"/>
    </xf>
    <xf numFmtId="0" fontId="13" fillId="0" borderId="96" xfId="0" applyFont="1" applyBorder="1" applyAlignment="1">
      <alignment horizontal="center" vertical="center" wrapText="1"/>
    </xf>
    <xf numFmtId="0" fontId="13" fillId="3" borderId="96" xfId="0" applyFont="1" applyFill="1" applyBorder="1" applyAlignment="1">
      <alignment horizontal="center" vertical="center" wrapText="1"/>
    </xf>
    <xf numFmtId="1" fontId="13" fillId="3" borderId="96" xfId="0" applyNumberFormat="1" applyFont="1" applyFill="1" applyBorder="1" applyAlignment="1">
      <alignment horizontal="center" vertical="center" wrapText="1"/>
    </xf>
    <xf numFmtId="14" fontId="13" fillId="3" borderId="96" xfId="0" applyNumberFormat="1" applyFont="1" applyFill="1" applyBorder="1" applyAlignment="1">
      <alignment horizontal="center" vertical="center" wrapText="1"/>
    </xf>
    <xf numFmtId="165" fontId="13" fillId="3" borderId="96" xfId="0" applyNumberFormat="1" applyFont="1" applyFill="1" applyBorder="1" applyAlignment="1">
      <alignment horizontal="center" vertical="center" wrapText="1"/>
    </xf>
    <xf numFmtId="0" fontId="14" fillId="3" borderId="96" xfId="0" applyFont="1" applyFill="1" applyBorder="1" applyAlignment="1">
      <alignment horizontal="center" vertical="center" wrapText="1"/>
    </xf>
    <xf numFmtId="0" fontId="13" fillId="2" borderId="96" xfId="0" applyFont="1" applyFill="1" applyBorder="1" applyAlignment="1">
      <alignment horizontal="center" vertical="center" wrapText="1"/>
    </xf>
    <xf numFmtId="0" fontId="14" fillId="2" borderId="96" xfId="0" applyFont="1" applyFill="1" applyBorder="1" applyAlignment="1">
      <alignment horizontal="center" vertical="center" wrapText="1"/>
    </xf>
    <xf numFmtId="0" fontId="16" fillId="2" borderId="96" xfId="0" applyFont="1" applyFill="1" applyBorder="1" applyAlignment="1">
      <alignment horizontal="center" vertical="center" wrapText="1"/>
    </xf>
    <xf numFmtId="1" fontId="13" fillId="2" borderId="96" xfId="0" applyNumberFormat="1" applyFont="1" applyFill="1" applyBorder="1" applyAlignment="1">
      <alignment horizontal="center" vertical="center" wrapText="1"/>
    </xf>
    <xf numFmtId="14" fontId="13" fillId="2" borderId="96" xfId="0" applyNumberFormat="1" applyFont="1" applyFill="1" applyBorder="1" applyAlignment="1">
      <alignment horizontal="center" vertical="center" wrapText="1"/>
    </xf>
    <xf numFmtId="164" fontId="13" fillId="2" borderId="96" xfId="0" applyNumberFormat="1" applyFont="1" applyFill="1" applyBorder="1" applyAlignment="1">
      <alignment horizontal="center" vertical="center" wrapText="1"/>
    </xf>
    <xf numFmtId="0" fontId="16" fillId="3" borderId="96" xfId="0" applyFont="1" applyFill="1" applyBorder="1" applyAlignment="1">
      <alignment horizontal="center" vertical="center" wrapText="1"/>
    </xf>
    <xf numFmtId="164" fontId="13" fillId="3" borderId="96" xfId="0" applyNumberFormat="1" applyFont="1" applyFill="1" applyBorder="1" applyAlignment="1">
      <alignment horizontal="center" vertical="center" wrapText="1"/>
    </xf>
    <xf numFmtId="0" fontId="14" fillId="3" borderId="97" xfId="0" applyFont="1" applyFill="1" applyBorder="1" applyAlignment="1">
      <alignment horizontal="center" vertical="center" wrapText="1"/>
    </xf>
    <xf numFmtId="0" fontId="13" fillId="3" borderId="97" xfId="0" applyFont="1" applyFill="1" applyBorder="1" applyAlignment="1">
      <alignment horizontal="center" vertical="center" wrapText="1"/>
    </xf>
    <xf numFmtId="1" fontId="13" fillId="2" borderId="97" xfId="0" applyNumberFormat="1" applyFont="1" applyFill="1" applyBorder="1" applyAlignment="1">
      <alignment horizontal="center" vertical="center" wrapText="1"/>
    </xf>
    <xf numFmtId="1" fontId="13" fillId="3" borderId="97" xfId="0" applyNumberFormat="1" applyFont="1" applyFill="1" applyBorder="1" applyAlignment="1">
      <alignment horizontal="center" vertical="center" wrapText="1"/>
    </xf>
    <xf numFmtId="14" fontId="13" fillId="2" borderId="97" xfId="0" applyNumberFormat="1" applyFont="1" applyFill="1" applyBorder="1" applyAlignment="1">
      <alignment horizontal="center" vertical="center" wrapText="1"/>
    </xf>
    <xf numFmtId="0" fontId="13" fillId="4" borderId="96" xfId="0" applyFont="1" applyFill="1" applyBorder="1" applyAlignment="1">
      <alignment horizontal="center" vertical="center" wrapText="1"/>
    </xf>
    <xf numFmtId="1" fontId="13" fillId="4" borderId="96" xfId="0" applyNumberFormat="1" applyFont="1" applyFill="1" applyBorder="1" applyAlignment="1">
      <alignment horizontal="center" vertical="center" wrapText="1"/>
    </xf>
    <xf numFmtId="14" fontId="13" fillId="4" borderId="96" xfId="0" applyNumberFormat="1" applyFont="1" applyFill="1" applyBorder="1" applyAlignment="1">
      <alignment horizontal="center" vertical="center" wrapText="1"/>
    </xf>
    <xf numFmtId="165" fontId="13" fillId="4" borderId="96" xfId="0" applyNumberFormat="1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5" fillId="2" borderId="96" xfId="1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17" fillId="2" borderId="96" xfId="0" applyFont="1" applyFill="1" applyBorder="1" applyAlignment="1">
      <alignment horizontal="center" vertical="center" wrapText="1"/>
    </xf>
    <xf numFmtId="0" fontId="14" fillId="4" borderId="96" xfId="0" applyFont="1" applyFill="1" applyBorder="1" applyAlignment="1">
      <alignment horizontal="center" vertical="center" wrapText="1"/>
    </xf>
    <xf numFmtId="165" fontId="13" fillId="2" borderId="96" xfId="0" applyNumberFormat="1" applyFont="1" applyFill="1" applyBorder="1" applyAlignment="1">
      <alignment horizontal="center" vertical="center" wrapText="1"/>
    </xf>
    <xf numFmtId="166" fontId="13" fillId="2" borderId="96" xfId="0" applyNumberFormat="1" applyFont="1" applyFill="1" applyBorder="1" applyAlignment="1">
      <alignment horizontal="center" vertical="center" wrapText="1"/>
    </xf>
    <xf numFmtId="0" fontId="16" fillId="4" borderId="96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14" fontId="13" fillId="3" borderId="97" xfId="0" applyNumberFormat="1" applyFont="1" applyFill="1" applyBorder="1" applyAlignment="1">
      <alignment horizontal="center" vertical="center" wrapText="1"/>
    </xf>
    <xf numFmtId="164" fontId="13" fillId="2" borderId="97" xfId="0" applyNumberFormat="1" applyFont="1" applyFill="1" applyBorder="1" applyAlignment="1">
      <alignment horizontal="center" vertical="center" wrapText="1"/>
    </xf>
    <xf numFmtId="0" fontId="13" fillId="3" borderId="100" xfId="0" applyFont="1" applyFill="1" applyBorder="1" applyAlignment="1">
      <alignment horizontal="center" vertical="center" wrapText="1"/>
    </xf>
    <xf numFmtId="0" fontId="14" fillId="3" borderId="101" xfId="0" applyFont="1" applyFill="1" applyBorder="1" applyAlignment="1">
      <alignment horizontal="center" vertical="center" wrapText="1"/>
    </xf>
    <xf numFmtId="0" fontId="13" fillId="3" borderId="99" xfId="0" applyFont="1" applyFill="1" applyBorder="1" applyAlignment="1">
      <alignment horizontal="center" vertical="center" wrapText="1"/>
    </xf>
    <xf numFmtId="168" fontId="13" fillId="2" borderId="99" xfId="0" applyNumberFormat="1" applyFont="1" applyFill="1" applyBorder="1" applyAlignment="1">
      <alignment horizontal="center" vertical="center" wrapText="1"/>
    </xf>
    <xf numFmtId="168" fontId="13" fillId="2" borderId="97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wrapText="1"/>
    </xf>
    <xf numFmtId="1" fontId="13" fillId="0" borderId="0" xfId="0" applyNumberFormat="1" applyFont="1" applyAlignment="1">
      <alignment wrapText="1"/>
    </xf>
    <xf numFmtId="168" fontId="13" fillId="0" borderId="0" xfId="0" applyNumberFormat="1" applyFont="1" applyAlignment="1">
      <alignment wrapText="1"/>
    </xf>
    <xf numFmtId="0" fontId="13" fillId="2" borderId="0" xfId="0" applyFont="1" applyFill="1" applyAlignment="1">
      <alignment wrapText="1"/>
    </xf>
    <xf numFmtId="0" fontId="13" fillId="2" borderId="0" xfId="0" applyFont="1" applyFill="1" applyAlignment="1">
      <alignment vertical="center" wrapText="1"/>
    </xf>
    <xf numFmtId="168" fontId="13" fillId="2" borderId="0" xfId="0" applyNumberFormat="1" applyFont="1" applyFill="1" applyAlignment="1">
      <alignment wrapText="1"/>
    </xf>
    <xf numFmtId="165" fontId="13" fillId="0" borderId="0" xfId="0" applyNumberFormat="1" applyFont="1" applyAlignment="1">
      <alignment wrapText="1"/>
    </xf>
    <xf numFmtId="168" fontId="13" fillId="0" borderId="96" xfId="0" applyNumberFormat="1" applyFont="1" applyBorder="1" applyAlignment="1">
      <alignment horizontal="right" vertical="center" wrapText="1"/>
    </xf>
    <xf numFmtId="168" fontId="13" fillId="0" borderId="96" xfId="0" applyNumberFormat="1" applyFont="1" applyBorder="1" applyAlignment="1">
      <alignment horizontal="center" vertical="center" wrapText="1"/>
    </xf>
    <xf numFmtId="168" fontId="13" fillId="3" borderId="96" xfId="0" applyNumberFormat="1" applyFont="1" applyFill="1" applyBorder="1" applyAlignment="1">
      <alignment horizontal="right" vertical="center" wrapText="1"/>
    </xf>
    <xf numFmtId="0" fontId="15" fillId="3" borderId="96" xfId="1" applyFont="1" applyFill="1" applyBorder="1" applyAlignment="1">
      <alignment horizontal="center" vertical="center" wrapText="1"/>
    </xf>
    <xf numFmtId="168" fontId="13" fillId="2" borderId="96" xfId="0" applyNumberFormat="1" applyFont="1" applyFill="1" applyBorder="1" applyAlignment="1">
      <alignment horizontal="center" vertical="center" wrapText="1"/>
    </xf>
    <xf numFmtId="168" fontId="13" fillId="2" borderId="96" xfId="0" applyNumberFormat="1" applyFont="1" applyFill="1" applyBorder="1" applyAlignment="1">
      <alignment horizontal="right" vertical="center" wrapText="1"/>
    </xf>
    <xf numFmtId="168" fontId="13" fillId="2" borderId="97" xfId="0" applyNumberFormat="1" applyFont="1" applyFill="1" applyBorder="1" applyAlignment="1">
      <alignment horizontal="right" vertical="center" wrapText="1"/>
    </xf>
    <xf numFmtId="0" fontId="13" fillId="2" borderId="97" xfId="0" applyFont="1" applyFill="1" applyBorder="1" applyAlignment="1">
      <alignment horizontal="center" vertical="center" wrapText="1"/>
    </xf>
    <xf numFmtId="168" fontId="13" fillId="4" borderId="96" xfId="0" applyNumberFormat="1" applyFont="1" applyFill="1" applyBorder="1" applyAlignment="1">
      <alignment horizontal="right" vertical="center" wrapText="1"/>
    </xf>
    <xf numFmtId="0" fontId="15" fillId="4" borderId="0" xfId="1" applyFont="1" applyFill="1" applyBorder="1" applyAlignment="1">
      <alignment horizontal="center" vertical="center" wrapText="1"/>
    </xf>
    <xf numFmtId="168" fontId="13" fillId="4" borderId="96" xfId="0" applyNumberFormat="1" applyFont="1" applyFill="1" applyBorder="1" applyAlignment="1">
      <alignment horizontal="center" vertical="center" wrapText="1"/>
    </xf>
    <xf numFmtId="0" fontId="15" fillId="4" borderId="96" xfId="1" applyFont="1" applyFill="1" applyBorder="1" applyAlignment="1">
      <alignment horizontal="center" vertical="center" wrapText="1"/>
    </xf>
    <xf numFmtId="0" fontId="18" fillId="3" borderId="96" xfId="0" applyFont="1" applyFill="1" applyBorder="1" applyAlignment="1">
      <alignment horizontal="center" vertical="center" wrapText="1"/>
    </xf>
    <xf numFmtId="168" fontId="13" fillId="3" borderId="97" xfId="0" applyNumberFormat="1" applyFont="1" applyFill="1" applyBorder="1" applyAlignment="1">
      <alignment horizontal="right" vertical="center" wrapText="1"/>
    </xf>
    <xf numFmtId="0" fontId="15" fillId="3" borderId="0" xfId="1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5" fillId="3" borderId="0" xfId="1" applyFont="1" applyFill="1" applyAlignment="1">
      <alignment wrapText="1"/>
    </xf>
    <xf numFmtId="0" fontId="14" fillId="3" borderId="0" xfId="0" applyFont="1" applyFill="1" applyAlignment="1">
      <alignment wrapText="1"/>
    </xf>
    <xf numFmtId="0" fontId="15" fillId="3" borderId="97" xfId="1" applyFont="1" applyFill="1" applyBorder="1" applyAlignment="1">
      <alignment horizontal="center" vertical="center" wrapText="1"/>
    </xf>
    <xf numFmtId="0" fontId="13" fillId="3" borderId="102" xfId="0" applyFont="1" applyFill="1" applyBorder="1" applyAlignment="1">
      <alignment horizontal="center" vertical="center" wrapText="1"/>
    </xf>
    <xf numFmtId="0" fontId="14" fillId="3" borderId="103" xfId="0" applyFont="1" applyFill="1" applyBorder="1" applyAlignment="1">
      <alignment horizontal="center" vertical="center" wrapText="1"/>
    </xf>
    <xf numFmtId="168" fontId="13" fillId="2" borderId="104" xfId="0" applyNumberFormat="1" applyFont="1" applyFill="1" applyBorder="1" applyAlignment="1">
      <alignment horizontal="right" vertical="center" wrapText="1"/>
    </xf>
    <xf numFmtId="168" fontId="13" fillId="2" borderId="104" xfId="0" applyNumberFormat="1" applyFont="1" applyFill="1" applyBorder="1" applyAlignment="1">
      <alignment horizontal="center" vertical="center" wrapText="1"/>
    </xf>
    <xf numFmtId="168" fontId="13" fillId="2" borderId="99" xfId="0" applyNumberFormat="1" applyFont="1" applyFill="1" applyBorder="1" applyAlignment="1">
      <alignment horizontal="right" vertical="center" wrapText="1"/>
    </xf>
    <xf numFmtId="168" fontId="13" fillId="0" borderId="0" xfId="0" applyNumberFormat="1" applyFont="1" applyAlignment="1">
      <alignment horizontal="right" wrapText="1"/>
    </xf>
    <xf numFmtId="0" fontId="14" fillId="0" borderId="96" xfId="0" applyFont="1" applyBorder="1" applyAlignment="1">
      <alignment horizontal="center" vertical="center" wrapText="1"/>
    </xf>
    <xf numFmtId="0" fontId="15" fillId="0" borderId="0" xfId="1" applyFont="1" applyAlignment="1">
      <alignment wrapText="1"/>
    </xf>
    <xf numFmtId="0" fontId="13" fillId="3" borderId="0" xfId="0" applyFont="1" applyFill="1" applyAlignment="1">
      <alignment horizontal="center" wrapText="1"/>
    </xf>
    <xf numFmtId="168" fontId="16" fillId="2" borderId="98" xfId="0" applyNumberFormat="1" applyFont="1" applyFill="1" applyBorder="1" applyAlignment="1">
      <alignment horizontal="right" vertical="center" wrapText="1"/>
    </xf>
    <xf numFmtId="3" fontId="16" fillId="0" borderId="98" xfId="0" applyNumberFormat="1" applyFont="1" applyBorder="1" applyAlignment="1">
      <alignment horizontal="center" wrapText="1"/>
    </xf>
    <xf numFmtId="168" fontId="16" fillId="2" borderId="96" xfId="0" applyNumberFormat="1" applyFont="1" applyFill="1" applyBorder="1" applyAlignment="1">
      <alignment horizontal="right" vertical="center" wrapText="1"/>
    </xf>
    <xf numFmtId="3" fontId="16" fillId="2" borderId="96" xfId="0" applyNumberFormat="1" applyFont="1" applyFill="1" applyBorder="1" applyAlignment="1">
      <alignment horizontal="center" vertical="center" wrapText="1"/>
    </xf>
    <xf numFmtId="0" fontId="12" fillId="3" borderId="96" xfId="0" applyFont="1" applyFill="1" applyBorder="1" applyAlignment="1">
      <alignment horizontal="center" vertical="center"/>
    </xf>
    <xf numFmtId="0" fontId="13" fillId="3" borderId="105" xfId="0" applyFont="1" applyFill="1" applyBorder="1" applyAlignment="1">
      <alignment horizontal="center" vertical="center" wrapText="1"/>
    </xf>
    <xf numFmtId="0" fontId="1" fillId="0" borderId="89" xfId="0" applyFont="1" applyBorder="1" applyAlignment="1">
      <alignment vertical="center" wrapText="1"/>
    </xf>
    <xf numFmtId="0" fontId="1" fillId="0" borderId="65" xfId="0" applyFont="1" applyBorder="1" applyAlignment="1">
      <alignment vertical="center" wrapText="1"/>
    </xf>
    <xf numFmtId="0" fontId="1" fillId="0" borderId="80" xfId="0" applyFont="1" applyBorder="1" applyAlignment="1">
      <alignment horizontal="center"/>
    </xf>
    <xf numFmtId="0" fontId="1" fillId="0" borderId="81" xfId="0" applyFont="1" applyBorder="1" applyAlignment="1">
      <alignment vertical="center" wrapText="1"/>
    </xf>
    <xf numFmtId="0" fontId="1" fillId="0" borderId="62" xfId="0" applyFont="1" applyBorder="1" applyAlignment="1">
      <alignment horizontal="center"/>
    </xf>
    <xf numFmtId="0" fontId="1" fillId="0" borderId="63" xfId="0" applyFont="1" applyBorder="1" applyAlignment="1">
      <alignment vertical="center" wrapText="1"/>
    </xf>
    <xf numFmtId="0" fontId="1" fillId="0" borderId="69" xfId="0" applyFont="1" applyBorder="1" applyAlignment="1">
      <alignment vertical="center" wrapText="1"/>
    </xf>
    <xf numFmtId="0" fontId="1" fillId="0" borderId="60" xfId="0" applyFont="1" applyBorder="1" applyAlignment="1">
      <alignment vertical="center" wrapText="1"/>
    </xf>
    <xf numFmtId="0" fontId="1" fillId="0" borderId="50" xfId="0" applyFont="1" applyBorder="1" applyAlignment="1">
      <alignment horizontal="center"/>
    </xf>
    <xf numFmtId="0" fontId="1" fillId="0" borderId="51" xfId="0" applyFont="1" applyBorder="1" applyAlignment="1">
      <alignment vertical="center" wrapText="1"/>
    </xf>
    <xf numFmtId="0" fontId="1" fillId="0" borderId="56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/>
    </xf>
    <xf numFmtId="0" fontId="1" fillId="0" borderId="93" xfId="0" applyFont="1" applyBorder="1" applyAlignment="1">
      <alignment vertical="center" wrapText="1"/>
    </xf>
    <xf numFmtId="0" fontId="1" fillId="0" borderId="73" xfId="0" applyFont="1" applyBorder="1" applyAlignment="1">
      <alignment vertical="center" wrapText="1"/>
    </xf>
    <xf numFmtId="0" fontId="1" fillId="0" borderId="87" xfId="0" applyFont="1" applyBorder="1" applyAlignment="1">
      <alignment vertical="center" wrapText="1"/>
    </xf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5" xfId="0" applyFont="1" applyBorder="1" applyAlignment="1"/>
    <xf numFmtId="0" fontId="3" fillId="0" borderId="6" xfId="0" applyFont="1" applyBorder="1" applyAlignment="1"/>
    <xf numFmtId="0" fontId="3" fillId="0" borderId="8" xfId="0" applyFont="1" applyBorder="1" applyAlignment="1"/>
    <xf numFmtId="0" fontId="3" fillId="0" borderId="9" xfId="0" applyFont="1" applyBorder="1" applyAlignment="1"/>
    <xf numFmtId="0" fontId="3" fillId="0" borderId="11" xfId="0" applyFont="1" applyBorder="1" applyAlignment="1"/>
    <xf numFmtId="0" fontId="3" fillId="0" borderId="12" xfId="0" applyFont="1" applyBorder="1" applyAlignment="1"/>
    <xf numFmtId="0" fontId="3" fillId="0" borderId="14" xfId="0" applyFont="1" applyBorder="1" applyAlignment="1"/>
    <xf numFmtId="0" fontId="3" fillId="0" borderId="15" xfId="0" applyFont="1" applyBorder="1" applyAlignment="1"/>
    <xf numFmtId="0" fontId="3" fillId="0" borderId="17" xfId="0" applyFont="1" applyBorder="1" applyAlignment="1"/>
    <xf numFmtId="0" fontId="3" fillId="0" borderId="18" xfId="0" applyFont="1" applyBorder="1" applyAlignment="1"/>
    <xf numFmtId="0" fontId="3" fillId="0" borderId="20" xfId="0" applyFont="1" applyBorder="1" applyAlignment="1"/>
    <xf numFmtId="0" fontId="3" fillId="0" borderId="21" xfId="0" applyFont="1" applyBorder="1" applyAlignment="1"/>
    <xf numFmtId="0" fontId="3" fillId="0" borderId="23" xfId="0" applyFont="1" applyBorder="1" applyAlignment="1"/>
    <xf numFmtId="0" fontId="3" fillId="0" borderId="24" xfId="0" applyFont="1" applyBorder="1" applyAlignment="1"/>
    <xf numFmtId="0" fontId="3" fillId="0" borderId="26" xfId="0" applyFont="1" applyBorder="1" applyAlignment="1"/>
    <xf numFmtId="0" fontId="3" fillId="0" borderId="27" xfId="0" applyFont="1" applyBorder="1" applyAlignment="1"/>
    <xf numFmtId="0" fontId="3" fillId="0" borderId="29" xfId="0" applyFont="1" applyBorder="1" applyAlignment="1"/>
    <xf numFmtId="0" fontId="3" fillId="0" borderId="30" xfId="0" applyFont="1" applyBorder="1" applyAlignment="1"/>
    <xf numFmtId="0" fontId="1" fillId="0" borderId="51" xfId="0" applyFont="1" applyBorder="1" applyAlignment="1"/>
    <xf numFmtId="0" fontId="1" fillId="0" borderId="60" xfId="0" applyFont="1" applyBorder="1" applyAlignment="1"/>
    <xf numFmtId="0" fontId="1" fillId="0" borderId="63" xfId="0" applyFont="1" applyBorder="1" applyAlignment="1"/>
    <xf numFmtId="0" fontId="3" fillId="0" borderId="66" xfId="0" applyFont="1" applyBorder="1" applyAlignment="1"/>
    <xf numFmtId="0" fontId="3" fillId="0" borderId="67" xfId="0" applyFont="1" applyBorder="1" applyAlignment="1"/>
    <xf numFmtId="0" fontId="3" fillId="0" borderId="70" xfId="0" applyFont="1" applyBorder="1" applyAlignment="1"/>
    <xf numFmtId="0" fontId="3" fillId="0" borderId="71" xfId="0" applyFont="1" applyBorder="1" applyAlignment="1"/>
    <xf numFmtId="0" fontId="3" fillId="0" borderId="74" xfId="0" applyFont="1" applyBorder="1" applyAlignment="1"/>
    <xf numFmtId="0" fontId="3" fillId="0" borderId="75" xfId="0" applyFont="1" applyBorder="1" applyAlignment="1"/>
    <xf numFmtId="0" fontId="1" fillId="0" borderId="81" xfId="0" applyFont="1" applyBorder="1" applyAlignment="1"/>
    <xf numFmtId="0" fontId="1" fillId="0" borderId="86" xfId="0" applyFont="1" applyBorder="1" applyAlignment="1"/>
    <xf numFmtId="0" fontId="1" fillId="0" borderId="87" xfId="0" applyFont="1" applyBorder="1" applyAlignment="1"/>
    <xf numFmtId="0" fontId="3" fillId="0" borderId="90" xfId="0" applyFont="1" applyBorder="1" applyAlignment="1"/>
    <xf numFmtId="0" fontId="3" fillId="0" borderId="91" xfId="0" applyFont="1" applyBorder="1" applyAlignment="1"/>
    <xf numFmtId="0" fontId="3" fillId="0" borderId="94" xfId="0" applyFont="1" applyBorder="1" applyAlignment="1"/>
    <xf numFmtId="0" fontId="3" fillId="0" borderId="95" xfId="0" applyFont="1" applyBorder="1" applyAlignment="1"/>
  </cellXfs>
  <cellStyles count="2">
    <cellStyle name="Hyperlink" xfId="1" xr:uid="{00000000-000B-0000-0000-000008000000}"/>
    <cellStyle name="Normal" xfId="0" builtinId="0"/>
  </cellStyles>
  <dxfs count="68">
    <dxf>
      <font>
        <b val="0"/>
        <sz val="9"/>
        <name val="Century Gothic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sz val="9"/>
        <name val="Century Gothic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sz val="9"/>
        <name val="Century Gothic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sz val="9"/>
        <name val="Century Gothic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sz val="9"/>
        <name val="Century Gothic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sz val="9"/>
        <name val="Century Gothic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sz val="9"/>
        <name val="Century Gothic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sz val="9"/>
        <name val="Century Gothic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sz val="9"/>
        <name val="Century Gothic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sz val="9"/>
        <name val="Century Gothic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oppins"/>
        <scheme val="none"/>
      </font>
      <numFmt numFmtId="164" formatCode="_-[$$-240A]\ * #,##0.00_-;\-[$$-240A]\ * #,##0.00_-;_-[$$-240A]\ * &quot;-&quot;??_-;_-@_-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numFmt numFmtId="164" formatCode="_-[$$-240A]\ * #,##0.00_-;\-[$$-240A]\ * #,##0.00_-;_-[$$-240A]\ * &quot;-&quot;??_-;_-@_-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oppins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oppins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oppins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oppins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oppins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oppins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numFmt numFmtId="168" formatCode="[$$-240A]\ #,##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numFmt numFmtId="164" formatCode="_-[$$-240A]\ * #,##0.00_-;\-[$$-240A]\ * #,##0.00_-;_-[$$-240A]\ * &quot;-&quot;??_-;_-@_-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Century Gothic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7"/>
        <name val="Century Gothic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89C6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microsoft.com/office/2022/10/relationships/richValueRel" Target="richData/richValueRel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[Plantilla_Tablero_Comercial_PRISA.xlsx]TABLAS DE DATA!TablaDinámica3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DE DATA'!$I$6</c:f>
              <c:strCache>
                <c:ptCount val="1"/>
                <c:pt idx="0">
                  <c:v>Suma de VENTA ESTIMADA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'TABLAS DE DATA'!$H$7:$H$52</c:f>
              <c:multiLvlStrCache>
                <c:ptCount val="24"/>
                <c:lvl>
                  <c:pt idx="0">
                    <c:v>ALIANZAS</c:v>
                  </c:pt>
                  <c:pt idx="1">
                    <c:v>Felipe Guillen</c:v>
                  </c:pt>
                  <c:pt idx="2">
                    <c:v>Andrea Morales</c:v>
                  </c:pt>
                  <c:pt idx="3">
                    <c:v>Carolina Diaz</c:v>
                  </c:pt>
                  <c:pt idx="4">
                    <c:v>Jaidy Morales</c:v>
                  </c:pt>
                  <c:pt idx="5">
                    <c:v>Natalia Zambrano</c:v>
                  </c:pt>
                  <c:pt idx="6">
                    <c:v>Camilo Prada</c:v>
                  </c:pt>
                  <c:pt idx="7">
                    <c:v>Luisa Escobar</c:v>
                  </c:pt>
                  <c:pt idx="8">
                    <c:v>Lina Lemus</c:v>
                  </c:pt>
                  <c:pt idx="9">
                    <c:v>Laura Calvera </c:v>
                  </c:pt>
                  <c:pt idx="10">
                    <c:v>Diana Andrea Rodriguez</c:v>
                  </c:pt>
                  <c:pt idx="11">
                    <c:v>Helen Fajardo</c:v>
                  </c:pt>
                  <c:pt idx="12">
                    <c:v>Laura Melo</c:v>
                  </c:pt>
                  <c:pt idx="13">
                    <c:v>Diana Rodriguez</c:v>
                  </c:pt>
                  <c:pt idx="14">
                    <c:v>Diana Andrea Rodiguez</c:v>
                  </c:pt>
                  <c:pt idx="15">
                    <c:v>Karen Perez</c:v>
                  </c:pt>
                  <c:pt idx="16">
                    <c:v>Luis López</c:v>
                  </c:pt>
                  <c:pt idx="17">
                    <c:v>Karen Perez</c:v>
                  </c:pt>
                  <c:pt idx="18">
                    <c:v>Carol Beltan </c:v>
                  </c:pt>
                  <c:pt idx="19">
                    <c:v>Carol Beltan </c:v>
                  </c:pt>
                  <c:pt idx="20">
                    <c:v>Luz Karime Hernandez</c:v>
                  </c:pt>
                  <c:pt idx="21">
                    <c:v>Raul Herrera </c:v>
                  </c:pt>
                  <c:pt idx="22">
                    <c:v>Luz Karime Hernandez</c:v>
                  </c:pt>
                  <c:pt idx="23">
                    <c:v>PRODUCTOS GENERALES</c:v>
                  </c:pt>
                </c:lvl>
                <c:lvl>
                  <c:pt idx="0">
                    <c:v>En seguimiento</c:v>
                  </c:pt>
                  <c:pt idx="1">
                    <c:v>Cerrada</c:v>
                  </c:pt>
                  <c:pt idx="2">
                    <c:v>En seguimiento</c:v>
                  </c:pt>
                  <c:pt idx="6">
                    <c:v>En seguimiento</c:v>
                  </c:pt>
                  <c:pt idx="8">
                    <c:v>Por cerrar</c:v>
                  </c:pt>
                  <c:pt idx="9">
                    <c:v>Cerrada</c:v>
                  </c:pt>
                  <c:pt idx="10">
                    <c:v>En seguimiento</c:v>
                  </c:pt>
                  <c:pt idx="14">
                    <c:v>Por cerrar</c:v>
                  </c:pt>
                  <c:pt idx="15">
                    <c:v>Cerrada</c:v>
                  </c:pt>
                  <c:pt idx="17">
                    <c:v>En seguimiento</c:v>
                  </c:pt>
                  <c:pt idx="18">
                    <c:v>Cerrada</c:v>
                  </c:pt>
                  <c:pt idx="19">
                    <c:v>En seguimiento</c:v>
                  </c:pt>
                  <c:pt idx="22">
                    <c:v>Por cerrar</c:v>
                  </c:pt>
                  <c:pt idx="23">
                    <c:v>En seguimiento</c:v>
                  </c:pt>
                </c:lvl>
                <c:lvl>
                  <c:pt idx="0">
                    <c:v>ALIANZAS</c:v>
                  </c:pt>
                  <c:pt idx="1">
                    <c:v>N1</c:v>
                  </c:pt>
                  <c:pt idx="6">
                    <c:v>N2</c:v>
                  </c:pt>
                  <c:pt idx="9">
                    <c:v>N3</c:v>
                  </c:pt>
                  <c:pt idx="15">
                    <c:v>N4</c:v>
                  </c:pt>
                  <c:pt idx="18">
                    <c:v>N5</c:v>
                  </c:pt>
                  <c:pt idx="23">
                    <c:v>PRODUCTOS GENERALES</c:v>
                  </c:pt>
                </c:lvl>
              </c:multiLvlStrCache>
            </c:multiLvlStrRef>
          </c:cat>
          <c:val>
            <c:numRef>
              <c:f>'TABLAS DE DATA'!$I$7:$I$52</c:f>
              <c:numCache>
                <c:formatCode>"$"\ #,##0</c:formatCode>
                <c:ptCount val="24"/>
                <c:pt idx="0">
                  <c:v>20000000</c:v>
                </c:pt>
                <c:pt idx="1">
                  <c:v>15000000</c:v>
                </c:pt>
                <c:pt idx="2">
                  <c:v>50000000</c:v>
                </c:pt>
                <c:pt idx="3">
                  <c:v>110000000</c:v>
                </c:pt>
                <c:pt idx="4">
                  <c:v>40000000</c:v>
                </c:pt>
                <c:pt idx="5">
                  <c:v>30000000</c:v>
                </c:pt>
                <c:pt idx="6">
                  <c:v>42050587</c:v>
                </c:pt>
                <c:pt idx="7">
                  <c:v>29438585</c:v>
                </c:pt>
                <c:pt idx="8">
                  <c:v>70000000</c:v>
                </c:pt>
                <c:pt idx="9">
                  <c:v>5000000</c:v>
                </c:pt>
                <c:pt idx="10">
                  <c:v>30000000</c:v>
                </c:pt>
                <c:pt idx="11">
                  <c:v>40000000</c:v>
                </c:pt>
                <c:pt idx="12">
                  <c:v>15000000</c:v>
                </c:pt>
                <c:pt idx="13">
                  <c:v>40000000</c:v>
                </c:pt>
                <c:pt idx="14">
                  <c:v>50000000</c:v>
                </c:pt>
                <c:pt idx="15">
                  <c:v>23000000</c:v>
                </c:pt>
                <c:pt idx="16">
                  <c:v>100000000</c:v>
                </c:pt>
                <c:pt idx="17">
                  <c:v>45000000</c:v>
                </c:pt>
                <c:pt idx="18">
                  <c:v>20000000</c:v>
                </c:pt>
                <c:pt idx="19">
                  <c:v>138000000</c:v>
                </c:pt>
                <c:pt idx="20">
                  <c:v>45700000</c:v>
                </c:pt>
                <c:pt idx="21">
                  <c:v>35000000</c:v>
                </c:pt>
                <c:pt idx="22">
                  <c:v>48000000</c:v>
                </c:pt>
                <c:pt idx="23">
                  <c:v>220000000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8D-4343-8445-D4D20BC8EEFF}"/>
            </c:ext>
          </c:extLst>
        </c:ser>
        <c:ser>
          <c:idx val="1"/>
          <c:order val="1"/>
          <c:tx>
            <c:strRef>
              <c:f>'TABLAS DE DATA'!$J$6</c:f>
              <c:strCache>
                <c:ptCount val="1"/>
                <c:pt idx="0">
                  <c:v>Suma de VALOR DE LA PROPUESTA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'TABLAS DE DATA'!$H$7:$H$52</c:f>
              <c:multiLvlStrCache>
                <c:ptCount val="24"/>
                <c:lvl>
                  <c:pt idx="0">
                    <c:v>ALIANZAS</c:v>
                  </c:pt>
                  <c:pt idx="1">
                    <c:v>Felipe Guillen</c:v>
                  </c:pt>
                  <c:pt idx="2">
                    <c:v>Andrea Morales</c:v>
                  </c:pt>
                  <c:pt idx="3">
                    <c:v>Carolina Diaz</c:v>
                  </c:pt>
                  <c:pt idx="4">
                    <c:v>Jaidy Morales</c:v>
                  </c:pt>
                  <c:pt idx="5">
                    <c:v>Natalia Zambrano</c:v>
                  </c:pt>
                  <c:pt idx="6">
                    <c:v>Camilo Prada</c:v>
                  </c:pt>
                  <c:pt idx="7">
                    <c:v>Luisa Escobar</c:v>
                  </c:pt>
                  <c:pt idx="8">
                    <c:v>Lina Lemus</c:v>
                  </c:pt>
                  <c:pt idx="9">
                    <c:v>Laura Calvera </c:v>
                  </c:pt>
                  <c:pt idx="10">
                    <c:v>Diana Andrea Rodriguez</c:v>
                  </c:pt>
                  <c:pt idx="11">
                    <c:v>Helen Fajardo</c:v>
                  </c:pt>
                  <c:pt idx="12">
                    <c:v>Laura Melo</c:v>
                  </c:pt>
                  <c:pt idx="13">
                    <c:v>Diana Rodriguez</c:v>
                  </c:pt>
                  <c:pt idx="14">
                    <c:v>Diana Andrea Rodiguez</c:v>
                  </c:pt>
                  <c:pt idx="15">
                    <c:v>Karen Perez</c:v>
                  </c:pt>
                  <c:pt idx="16">
                    <c:v>Luis López</c:v>
                  </c:pt>
                  <c:pt idx="17">
                    <c:v>Karen Perez</c:v>
                  </c:pt>
                  <c:pt idx="18">
                    <c:v>Carol Beltan </c:v>
                  </c:pt>
                  <c:pt idx="19">
                    <c:v>Carol Beltan </c:v>
                  </c:pt>
                  <c:pt idx="20">
                    <c:v>Luz Karime Hernandez</c:v>
                  </c:pt>
                  <c:pt idx="21">
                    <c:v>Raul Herrera </c:v>
                  </c:pt>
                  <c:pt idx="22">
                    <c:v>Luz Karime Hernandez</c:v>
                  </c:pt>
                  <c:pt idx="23">
                    <c:v>PRODUCTOS GENERALES</c:v>
                  </c:pt>
                </c:lvl>
                <c:lvl>
                  <c:pt idx="0">
                    <c:v>En seguimiento</c:v>
                  </c:pt>
                  <c:pt idx="1">
                    <c:v>Cerrada</c:v>
                  </c:pt>
                  <c:pt idx="2">
                    <c:v>En seguimiento</c:v>
                  </c:pt>
                  <c:pt idx="6">
                    <c:v>En seguimiento</c:v>
                  </c:pt>
                  <c:pt idx="8">
                    <c:v>Por cerrar</c:v>
                  </c:pt>
                  <c:pt idx="9">
                    <c:v>Cerrada</c:v>
                  </c:pt>
                  <c:pt idx="10">
                    <c:v>En seguimiento</c:v>
                  </c:pt>
                  <c:pt idx="14">
                    <c:v>Por cerrar</c:v>
                  </c:pt>
                  <c:pt idx="15">
                    <c:v>Cerrada</c:v>
                  </c:pt>
                  <c:pt idx="17">
                    <c:v>En seguimiento</c:v>
                  </c:pt>
                  <c:pt idx="18">
                    <c:v>Cerrada</c:v>
                  </c:pt>
                  <c:pt idx="19">
                    <c:v>En seguimiento</c:v>
                  </c:pt>
                  <c:pt idx="22">
                    <c:v>Por cerrar</c:v>
                  </c:pt>
                  <c:pt idx="23">
                    <c:v>En seguimiento</c:v>
                  </c:pt>
                </c:lvl>
                <c:lvl>
                  <c:pt idx="0">
                    <c:v>ALIANZAS</c:v>
                  </c:pt>
                  <c:pt idx="1">
                    <c:v>N1</c:v>
                  </c:pt>
                  <c:pt idx="6">
                    <c:v>N2</c:v>
                  </c:pt>
                  <c:pt idx="9">
                    <c:v>N3</c:v>
                  </c:pt>
                  <c:pt idx="15">
                    <c:v>N4</c:v>
                  </c:pt>
                  <c:pt idx="18">
                    <c:v>N5</c:v>
                  </c:pt>
                  <c:pt idx="23">
                    <c:v>PRODUCTOS GENERALES</c:v>
                  </c:pt>
                </c:lvl>
              </c:multiLvlStrCache>
            </c:multiLvlStrRef>
          </c:cat>
          <c:val>
            <c:numRef>
              <c:f>'TABLAS DE DATA'!$J$7:$J$52</c:f>
              <c:numCache>
                <c:formatCode>"$"\ #,##0</c:formatCode>
                <c:ptCount val="24"/>
                <c:pt idx="0">
                  <c:v>20000000</c:v>
                </c:pt>
                <c:pt idx="1">
                  <c:v>17000000</c:v>
                </c:pt>
                <c:pt idx="2">
                  <c:v>76000000</c:v>
                </c:pt>
                <c:pt idx="3">
                  <c:v>117420000</c:v>
                </c:pt>
                <c:pt idx="4">
                  <c:v>42014863</c:v>
                </c:pt>
                <c:pt idx="5">
                  <c:v>32600000</c:v>
                </c:pt>
                <c:pt idx="6">
                  <c:v>60000000</c:v>
                </c:pt>
                <c:pt idx="7">
                  <c:v>84444200</c:v>
                </c:pt>
                <c:pt idx="8">
                  <c:v>70000000</c:v>
                </c:pt>
                <c:pt idx="9">
                  <c:v>5500000</c:v>
                </c:pt>
                <c:pt idx="10">
                  <c:v>30000000</c:v>
                </c:pt>
                <c:pt idx="11">
                  <c:v>46437280</c:v>
                </c:pt>
                <c:pt idx="12">
                  <c:v>16880000</c:v>
                </c:pt>
                <c:pt idx="13">
                  <c:v>40000000</c:v>
                </c:pt>
                <c:pt idx="14">
                  <c:v>50686060</c:v>
                </c:pt>
                <c:pt idx="15">
                  <c:v>23577700</c:v>
                </c:pt>
                <c:pt idx="16">
                  <c:v>100000000</c:v>
                </c:pt>
                <c:pt idx="17">
                  <c:v>38280000</c:v>
                </c:pt>
                <c:pt idx="18">
                  <c:v>18000000</c:v>
                </c:pt>
                <c:pt idx="19">
                  <c:v>158500000</c:v>
                </c:pt>
                <c:pt idx="20">
                  <c:v>24664200</c:v>
                </c:pt>
                <c:pt idx="21">
                  <c:v>39000000</c:v>
                </c:pt>
                <c:pt idx="22">
                  <c:v>48000000</c:v>
                </c:pt>
                <c:pt idx="23">
                  <c:v>220000000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8D-4343-8445-D4D20BC8E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4079120"/>
        <c:axId val="1471805024"/>
      </c:barChart>
      <c:catAx>
        <c:axId val="127407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71805024"/>
        <c:crosses val="autoZero"/>
        <c:auto val="1"/>
        <c:lblAlgn val="ctr"/>
        <c:lblOffset val="100"/>
        <c:noMultiLvlLbl val="0"/>
      </c:catAx>
      <c:valAx>
        <c:axId val="147180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7407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12" Type="http://schemas.openxmlformats.org/officeDocument/2006/relationships/image" Target="../media/image27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6" Type="http://schemas.openxmlformats.org/officeDocument/2006/relationships/image" Target="../media/image21.png"/><Relationship Id="rId11" Type="http://schemas.openxmlformats.org/officeDocument/2006/relationships/image" Target="../media/image26.png"/><Relationship Id="rId5" Type="http://schemas.openxmlformats.org/officeDocument/2006/relationships/image" Target="../media/image20.pn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609600</xdr:colOff>
      <xdr:row>28</xdr:row>
      <xdr:rowOff>152400</xdr:rowOff>
    </xdr:from>
    <xdr:ext cx="542925" cy="533400"/>
    <xdr:pic>
      <xdr:nvPicPr>
        <xdr:cNvPr id="2" name="image9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43300" y="10125075"/>
          <a:ext cx="542925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247650</xdr:colOff>
      <xdr:row>10</xdr:row>
      <xdr:rowOff>161925</xdr:rowOff>
    </xdr:from>
    <xdr:ext cx="466725" cy="542925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571500</xdr:colOff>
      <xdr:row>10</xdr:row>
      <xdr:rowOff>152400</xdr:rowOff>
    </xdr:from>
    <xdr:ext cx="466725" cy="542925"/>
    <xdr:pic>
      <xdr:nvPicPr>
        <xdr:cNvPr id="4" name="image6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371475</xdr:colOff>
      <xdr:row>10</xdr:row>
      <xdr:rowOff>180975</xdr:rowOff>
    </xdr:from>
    <xdr:ext cx="447675" cy="542925"/>
    <xdr:pic>
      <xdr:nvPicPr>
        <xdr:cNvPr id="5" name="image14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200025</xdr:colOff>
      <xdr:row>12</xdr:row>
      <xdr:rowOff>161925</xdr:rowOff>
    </xdr:from>
    <xdr:ext cx="600075" cy="542925"/>
    <xdr:pic>
      <xdr:nvPicPr>
        <xdr:cNvPr id="6" name="image8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438150</xdr:colOff>
      <xdr:row>12</xdr:row>
      <xdr:rowOff>152400</xdr:rowOff>
    </xdr:from>
    <xdr:ext cx="609600" cy="542925"/>
    <xdr:pic>
      <xdr:nvPicPr>
        <xdr:cNvPr id="7" name="image13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609600</xdr:colOff>
      <xdr:row>12</xdr:row>
      <xdr:rowOff>161925</xdr:rowOff>
    </xdr:from>
    <xdr:ext cx="457200" cy="542925"/>
    <xdr:pic>
      <xdr:nvPicPr>
        <xdr:cNvPr id="8" name="image12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219075</xdr:colOff>
      <xdr:row>30</xdr:row>
      <xdr:rowOff>133350</xdr:rowOff>
    </xdr:from>
    <xdr:ext cx="495300" cy="542925"/>
    <xdr:pic>
      <xdr:nvPicPr>
        <xdr:cNvPr id="9" name="image15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647700</xdr:colOff>
      <xdr:row>30</xdr:row>
      <xdr:rowOff>95250</xdr:rowOff>
    </xdr:from>
    <xdr:ext cx="495300" cy="542925"/>
    <xdr:pic>
      <xdr:nvPicPr>
        <xdr:cNvPr id="10" name="image2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352425</xdr:colOff>
      <xdr:row>30</xdr:row>
      <xdr:rowOff>123825</xdr:rowOff>
    </xdr:from>
    <xdr:ext cx="476250" cy="542925"/>
    <xdr:pic>
      <xdr:nvPicPr>
        <xdr:cNvPr id="11" name="image1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533400</xdr:colOff>
      <xdr:row>13</xdr:row>
      <xdr:rowOff>161925</xdr:rowOff>
    </xdr:from>
    <xdr:ext cx="447675" cy="542925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276225</xdr:colOff>
      <xdr:row>13</xdr:row>
      <xdr:rowOff>104775</xdr:rowOff>
    </xdr:from>
    <xdr:ext cx="447675" cy="542925"/>
    <xdr:pic>
      <xdr:nvPicPr>
        <xdr:cNvPr id="13" name="image3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361950</xdr:colOff>
      <xdr:row>13</xdr:row>
      <xdr:rowOff>123825</xdr:rowOff>
    </xdr:from>
    <xdr:ext cx="447675" cy="542925"/>
    <xdr:pic>
      <xdr:nvPicPr>
        <xdr:cNvPr id="14" name="image5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409575</xdr:colOff>
      <xdr:row>28</xdr:row>
      <xdr:rowOff>123825</xdr:rowOff>
    </xdr:from>
    <xdr:ext cx="523875" cy="533400"/>
    <xdr:pic>
      <xdr:nvPicPr>
        <xdr:cNvPr id="15" name="image7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85725</xdr:colOff>
      <xdr:row>28</xdr:row>
      <xdr:rowOff>190500</xdr:rowOff>
    </xdr:from>
    <xdr:ext cx="552450" cy="533400"/>
    <xdr:pic>
      <xdr:nvPicPr>
        <xdr:cNvPr id="16" name="image10.png">
          <a:extLst>
            <a:ext uri="{FF2B5EF4-FFF2-40B4-BE49-F238E27FC236}">
              <a16:creationId xmlns:a16="http://schemas.microsoft.com/office/drawing/2014/main" id="{00000000-0008-0000-0000-000010000000}"/>
            </a:ext>
            <a:ext uri="{147F2762-F138-4A5C-976F-8EAC2B608ADB}">
              <a16:predDERef xmlns:a16="http://schemas.microsoft.com/office/drawing/2014/main" pre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4905375" y="10163175"/>
          <a:ext cx="552450" cy="5334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1389529</xdr:colOff>
      <xdr:row>3</xdr:row>
      <xdr:rowOff>178173</xdr:rowOff>
    </xdr:from>
    <xdr:to>
      <xdr:col>6</xdr:col>
      <xdr:colOff>3765175</xdr:colOff>
      <xdr:row>28</xdr:row>
      <xdr:rowOff>119529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BC2AC4D-226B-427F-946E-A13A0A1CB2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487829</xdr:colOff>
      <xdr:row>4</xdr:row>
      <xdr:rowOff>102721</xdr:rowOff>
    </xdr:from>
    <xdr:to>
      <xdr:col>1</xdr:col>
      <xdr:colOff>1158688</xdr:colOff>
      <xdr:row>18</xdr:row>
      <xdr:rowOff>107387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EQUIPO">
              <a:extLst>
                <a:ext uri="{FF2B5EF4-FFF2-40B4-BE49-F238E27FC236}">
                  <a16:creationId xmlns:a16="http://schemas.microsoft.com/office/drawing/2014/main" id="{284F3564-5577-2220-73F7-F797428932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QUI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7829" y="837432"/>
              <a:ext cx="1825404" cy="25761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Pablo Godoy Calderon" refreshedDate="46226.634788310184" createdVersion="8" refreshedVersion="8" minRefreshableVersion="3" recordCount="133" xr:uid="{55F78DFB-2814-434A-A177-7BBC7B762691}">
  <cacheSource type="worksheet">
    <worksheetSource name="tbl_BasePowerBI[[EQUIPO]:[VALOR DE LA PROPUESTA]]"/>
  </cacheSource>
  <cacheFields count="25">
    <cacheField name="EQUIPO" numFmtId="0">
      <sharedItems count="8">
        <s v="ALIANZAS"/>
        <s v="PRODUCTOS GENERALES"/>
        <s v="N1"/>
        <s v="N2"/>
        <s v="N3"/>
        <s v="N4"/>
        <s v="N5"/>
        <s v="GENERAL" u="1"/>
      </sharedItems>
    </cacheField>
    <cacheField name="NOMBRE EJECUTIVO" numFmtId="0">
      <sharedItems count="37">
        <s v="ALIANZAS"/>
        <s v="PRODUCTOS GENERALES"/>
        <s v="Jaidy Morales"/>
        <s v="Diana Contreras Rodriguez"/>
        <s v="Rosa Diaz"/>
        <s v="Felipe Guillen"/>
        <s v="Carolina Diaz"/>
        <s v="Andrea Morales"/>
        <s v="Natalia Zambrano"/>
        <s v="Camilo Prada"/>
        <s v="Luisa Escobar"/>
        <s v="Lina Lemus"/>
        <s v="Helen Fajardo"/>
        <s v="Hugo Urrea"/>
        <s v="Sofia Calvera"/>
        <s v="Elsa Cortez"/>
        <s v="Laura Melo"/>
        <s v="Diana Andrea Rodiguez"/>
        <s v="Diana Andrea Rodriguez"/>
        <s v="Laura Calvera "/>
        <s v="Diana Rodriguez"/>
        <s v="Nicole Hincapie"/>
        <s v="Gina Tinjacá"/>
        <s v="Karen Perez"/>
        <s v="Valentina Párraga"/>
        <s v="Mauricio Agudelo"/>
        <s v="Luis López"/>
        <s v="Luz Karime Hernandez"/>
        <s v="Ana Maria Castañeda"/>
        <s v="Carol Beltan "/>
        <s v="Raul Herrera "/>
        <s v="GENERAL" u="1"/>
        <s v="Andres Guillem" u="1"/>
        <s v="Carolina Diaz " u="1"/>
        <s v="TATIANA PELAEZ" u="1"/>
        <s v="Ivonne Moriones " u="1"/>
        <s v="WILLIAM OCAMPO" u="1"/>
      </sharedItems>
    </cacheField>
    <cacheField name="CUENTA" numFmtId="0">
      <sharedItems/>
    </cacheField>
    <cacheField name="VENTA ESTIMADA" numFmtId="164">
      <sharedItems containsMixedTypes="1" containsNumber="1" containsInteger="1" minValue="0" maxValue="100000000"/>
    </cacheField>
    <cacheField name="NECESIDAD 1" numFmtId="0">
      <sharedItems containsBlank="1"/>
    </cacheField>
    <cacheField name="NECESIDAD 2" numFmtId="0">
      <sharedItems containsNonDate="0" containsString="0" containsBlank="1"/>
    </cacheField>
    <cacheField name="NECESIDAD 3" numFmtId="0">
      <sharedItems containsNonDate="0" containsString="0" containsBlank="1"/>
    </cacheField>
    <cacheField name="PLAN DE ACCIÓN 1" numFmtId="0">
      <sharedItems/>
    </cacheField>
    <cacheField name="AVANCE PLAN 1" numFmtId="0">
      <sharedItems containsString="0" containsBlank="1" containsNumber="1" containsInteger="1" minValue="0" maxValue="100"/>
    </cacheField>
    <cacheField name="PLAN DE ACCIÓN 2" numFmtId="0">
      <sharedItems containsBlank="1"/>
    </cacheField>
    <cacheField name="AVANCE PLAN 2" numFmtId="1">
      <sharedItems containsString="0" containsBlank="1" containsNumber="1" containsInteger="1" minValue="0" maxValue="100"/>
    </cacheField>
    <cacheField name="PLAN DE ACCIÓN 3" numFmtId="0">
      <sharedItems containsBlank="1"/>
    </cacheField>
    <cacheField name="AVANCE PLAN 3" numFmtId="1">
      <sharedItems containsString="0" containsBlank="1" containsNumber="1" containsInteger="1" minValue="0" maxValue="100"/>
    </cacheField>
    <cacheField name="OPORTUNIDAD" numFmtId="0">
      <sharedItems containsBlank="1"/>
    </cacheField>
    <cacheField name="ESTADO" numFmtId="0">
      <sharedItems count="4">
        <s v="En seguimiento"/>
        <s v="Por Mejorar"/>
        <s v="Cerrada"/>
        <s v="Por cerrar"/>
      </sharedItems>
    </cacheField>
    <cacheField name="CLAVE" numFmtId="0">
      <sharedItems/>
    </cacheField>
    <cacheField name="PRIORIDAD" numFmtId="0">
      <sharedItems containsBlank="1"/>
    </cacheField>
    <cacheField name="RESULTADO ESPERADO" numFmtId="0">
      <sharedItems containsBlank="1"/>
    </cacheField>
    <cacheField name="RESPONSABLE" numFmtId="0">
      <sharedItems/>
    </cacheField>
    <cacheField name="MES" numFmtId="0">
      <sharedItems containsBlank="1"/>
    </cacheField>
    <cacheField name="DIA" numFmtId="1">
      <sharedItems containsNonDate="0" containsString="0" containsBlank="1"/>
    </cacheField>
    <cacheField name="FECHA SOLICITUD" numFmtId="14">
      <sharedItems containsNonDate="0" containsDate="1" containsString="0" containsBlank="1" minDate="2026-05-26T00:00:00" maxDate="2026-07-18T00:00:00"/>
    </cacheField>
    <cacheField name="FECHA DE ENTREGA" numFmtId="14">
      <sharedItems containsNonDate="0" containsDate="1" containsString="0" containsBlank="1" minDate="2026-06-01T00:00:00" maxDate="2026-07-23T00:00:00"/>
    </cacheField>
    <cacheField name="LINK DE PRESENTACION" numFmtId="0">
      <sharedItems containsBlank="1"/>
    </cacheField>
    <cacheField name="VALOR DE LA PROPUESTA" numFmtId="0">
      <sharedItems containsSemiMixedTypes="0" containsString="0" containsNumber="1" containsInteger="1" minValue="0" maxValue="100000000"/>
    </cacheField>
  </cacheFields>
  <extLst>
    <ext xmlns:x14="http://schemas.microsoft.com/office/spreadsheetml/2009/9/main" uri="{725AE2AE-9491-48be-B2B4-4EB974FC3084}">
      <x14:pivotCacheDefinition pivotCacheId="30266005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">
  <r>
    <x v="0"/>
    <x v="0"/>
    <s v="DISQUERAS - TIQUETERAS"/>
    <n v="10000000"/>
    <s v="PROPUESTA DIGITAL PARA DISQUERAS, EVENTOS Y TIQUETERAS"/>
    <m/>
    <m/>
    <s v="GENERAR PROPUESTA COMERCIAL"/>
    <n v="100"/>
    <s v="ENTREGAR PROPUESTA"/>
    <n v="100"/>
    <s v="SIN CAMBIOS"/>
    <n v="100"/>
    <m/>
    <x v="0"/>
    <s v="ALIANZAS|En seguimiento"/>
    <s v="Media"/>
    <m/>
    <s v="ALIANZAS"/>
    <s v="JUNIO"/>
    <m/>
    <d v="2026-06-03T00:00:00"/>
    <d v="2026-06-03T00:00:00"/>
    <s v="PRODUCTO DIGITAL-FRANQUICIAS-MÚSICA EN MOVIMIENTO.pptx"/>
    <n v="10000000"/>
  </r>
  <r>
    <x v="0"/>
    <x v="0"/>
    <s v="FRANQUICIAS "/>
    <n v="10000000"/>
    <s v="PROPUESTA DE FRANQUICIAS PARA EVENTOS "/>
    <m/>
    <m/>
    <s v="GENERAR PROPUESTA COMERCIAL"/>
    <n v="100"/>
    <s v="ENTREGAR PROPUESTA"/>
    <n v="100"/>
    <s v="SIN CAMBIOS"/>
    <n v="100"/>
    <m/>
    <x v="0"/>
    <s v="ALIANZAS|En seguimiento"/>
    <s v="Media"/>
    <m/>
    <s v="ALIANZAS"/>
    <s v="JUNIO"/>
    <m/>
    <d v="2026-06-03T00:00:00"/>
    <d v="2026-06-03T00:00:00"/>
    <s v="PRODUCTO DIGITAL-DEL PLAY AL SHOW.pptx"/>
    <n v="10000000"/>
  </r>
  <r>
    <x v="1"/>
    <x v="1"/>
    <s v="FRANQUICIAS "/>
    <n v="20000000"/>
    <s v="PROPUESTA DE FRANQUICIAS POR RUBROS"/>
    <m/>
    <m/>
    <s v="GENERAR PROPUESTA COMERCIAL"/>
    <n v="100"/>
    <s v="ENTREGAR PROPUESTA"/>
    <n v="100"/>
    <s v="SIN CAMBIOS "/>
    <n v="100"/>
    <m/>
    <x v="0"/>
    <s v="PRODUCTOS GENERALES|En seguimiento"/>
    <s v="Media"/>
    <m/>
    <s v="PRODUCTOS GENERALES"/>
    <s v="JUNIO"/>
    <m/>
    <d v="2026-06-01T00:00:00"/>
    <d v="2026-06-01T00:00:00"/>
    <s v="FRANQUICIAS PRISA.pptx"/>
    <n v="20000000"/>
  </r>
  <r>
    <x v="1"/>
    <x v="1"/>
    <s v="FRANQUICIAS "/>
    <n v="20000000"/>
    <s v="PROPUESTA DE FRANQUICIAS POR PAQUETES "/>
    <m/>
    <m/>
    <s v="GENERAR PROPUESTA COMERCIAL"/>
    <n v="100"/>
    <s v="ENTREGAR PROPUESTA"/>
    <n v="100"/>
    <s v="SIN CAMBIOS "/>
    <n v="100"/>
    <m/>
    <x v="0"/>
    <s v="PRODUCTOS GENERALES|En seguimiento"/>
    <s v="Media"/>
    <m/>
    <s v="PRODUCTOS GENERALES"/>
    <s v="JUNIO"/>
    <m/>
    <d v="2026-06-01T00:00:00"/>
    <d v="2026-06-01T00:00:00"/>
    <s v="Producto_Digital_FRANQUICIAS PRISA 2026.pptx"/>
    <n v="20000000"/>
  </r>
  <r>
    <x v="1"/>
    <x v="1"/>
    <s v="ELECCIONES 2026"/>
    <n v="20000000"/>
    <s v="PROPUESTA ELECCIONES 2026"/>
    <m/>
    <m/>
    <s v="GENERAR PROPUESTA COMERCIAL"/>
    <n v="100"/>
    <s v="ENTREGAR PROPUESTA"/>
    <n v="100"/>
    <s v="SIN CAMBIOS "/>
    <n v="100"/>
    <m/>
    <x v="0"/>
    <s v="PRODUCTOS GENERALES|En seguimiento"/>
    <s v="Media"/>
    <m/>
    <s v="PRODUCTOS GENERALES"/>
    <s v="JUNIO"/>
    <m/>
    <d v="2026-06-01T00:00:00"/>
    <d v="2026-06-01T00:00:00"/>
    <s v="PRODUCTO DIGITAL-ELECCIONES 2026.pptx"/>
    <n v="20000000"/>
  </r>
  <r>
    <x v="1"/>
    <x v="1"/>
    <s v="PRODUCTOS GENERALES"/>
    <n v="20000000"/>
    <s v="PROPUESTA DIGITAL LA RUTA DEL GOL"/>
    <m/>
    <m/>
    <s v="GENERAR PROPUESTA COMERCIAL"/>
    <n v="100"/>
    <s v="ENTREGAR PROPUESTA"/>
    <n v="100"/>
    <s v="SIN CAMBIOS"/>
    <n v="100"/>
    <m/>
    <x v="0"/>
    <s v="PRODUCTOS GENERALES|En seguimiento"/>
    <s v="Media"/>
    <m/>
    <s v="PRODUCTOS GENERALES"/>
    <s v="JUNIO"/>
    <m/>
    <d v="2026-06-01T00:00:00"/>
    <d v="2026-06-01T00:00:00"/>
    <s v="PRODUCTO DIGITAL-LA RUTA DEL GOL.pptx"/>
    <n v="20000000"/>
  </r>
  <r>
    <x v="1"/>
    <x v="1"/>
    <s v="PRODUCTOS GENERALES"/>
    <n v="20000000"/>
    <s v="PROPUESTA DE FRANQUICIAS MUNDIAL 2026"/>
    <m/>
    <m/>
    <s v="GENERAR PROPUESTA COMERCIAL"/>
    <n v="100"/>
    <s v="ENTREGAR PROPUESTA"/>
    <n v="100"/>
    <s v="SIN CAMBIOS"/>
    <n v="100"/>
    <m/>
    <x v="0"/>
    <s v="PRODUCTOS GENERALES|En seguimiento"/>
    <s v="Media"/>
    <m/>
    <s v="PRODUCTOS GENERALES"/>
    <s v="JUNIO"/>
    <m/>
    <d v="2026-06-01T00:00:00"/>
    <d v="2026-06-01T00:00:00"/>
    <s v="Producto_Digital_FRANQUICIA MUNDIALISTA.pptx"/>
    <n v="20000000"/>
  </r>
  <r>
    <x v="1"/>
    <x v="1"/>
    <s v="PRODUCTOS GENERALES"/>
    <n v="20000000"/>
    <s v="PROPUESTA DIGITAL BEAUTY"/>
    <m/>
    <m/>
    <s v="GENERAR PROPUESTA COMERCIAL"/>
    <n v="100"/>
    <s v="ENTREGAR PROPUESTA"/>
    <n v="100"/>
    <s v="SIN CAMBIOS"/>
    <n v="100"/>
    <m/>
    <x v="0"/>
    <s v="PRODUCTOS GENERALES|En seguimiento"/>
    <s v="Media"/>
    <m/>
    <s v="PRODUCTOS GENERALES"/>
    <s v="JUNIO"/>
    <m/>
    <d v="2026-06-01T00:00:00"/>
    <d v="2026-06-01T00:00:00"/>
    <s v="Producto_Digital_Universo Beauty.pptx"/>
    <n v="20000000"/>
  </r>
  <r>
    <x v="1"/>
    <x v="1"/>
    <s v="PRODUCTOS GENERALES"/>
    <n v="20000000"/>
    <s v="PROPUESTA DIGITAL CONSTRUCTORAS"/>
    <m/>
    <m/>
    <s v="GENERAR PROPUESTA COMERCIAL"/>
    <n v="100"/>
    <s v="ENTREGAR PROPUESTA"/>
    <n v="100"/>
    <s v="SIN CAMBIOS"/>
    <n v="100"/>
    <m/>
    <x v="0"/>
    <s v="PRODUCTOS GENERALES|En seguimiento"/>
    <s v="Media"/>
    <m/>
    <s v="PRODUCTOS GENERALES"/>
    <s v="JUNIO"/>
    <m/>
    <d v="2026-06-01T00:00:00"/>
    <d v="2026-06-01T00:00:00"/>
    <s v="Producto_Digital_LIVING EXPERIENCE.pptx"/>
    <n v="20000000"/>
  </r>
  <r>
    <x v="1"/>
    <x v="1"/>
    <s v="PRODUCTOS GENERALES"/>
    <n v="20000000"/>
    <s v="PROPUESTA DIGITAL SHOPPABLE"/>
    <m/>
    <m/>
    <s v="GENERAR PROPUESTA COMERCIAL"/>
    <n v="100"/>
    <s v="ENTREGAR PROPUESTA"/>
    <n v="100"/>
    <s v="SIN CAMBIOS"/>
    <n v="100"/>
    <m/>
    <x v="0"/>
    <s v="PRODUCTOS GENERALES|En seguimiento"/>
    <s v="Media"/>
    <m/>
    <s v="PRODUCTOS GENERALES"/>
    <s v="JUNIO"/>
    <m/>
    <d v="2026-06-01T00:00:00"/>
    <d v="2026-06-01T00:00:00"/>
    <m/>
    <n v="20000000"/>
  </r>
  <r>
    <x v="1"/>
    <x v="1"/>
    <s v="PRODUCTOS GENERALES"/>
    <n v="20000000"/>
    <s v="PROPUESTA  DIGITAL TECNOLOGIA DNS"/>
    <m/>
    <m/>
    <s v="GENERAR PROPUESTA COMERCIAL"/>
    <n v="100"/>
    <s v="ENTREGAR PROPUESTA"/>
    <n v="100"/>
    <s v="SIN CAMBIOS"/>
    <n v="100"/>
    <m/>
    <x v="0"/>
    <s v="PRODUCTOS GENERALES|En seguimiento"/>
    <s v="Media"/>
    <m/>
    <s v="PRODUCTOS GENERALES"/>
    <s v="JUNIO"/>
    <m/>
    <d v="2026-06-01T00:00:00"/>
    <d v="2026-06-01T00:00:00"/>
    <s v="Producto_Digital_RADIO INTERACTIVO.pptx"/>
    <n v="20000000"/>
  </r>
  <r>
    <x v="1"/>
    <x v="1"/>
    <s v="PRODUCTOS GENERALES"/>
    <n v="20000000"/>
    <s v="DESARROLO DE AGENTE DE IA"/>
    <m/>
    <m/>
    <s v="GENERAR PROPUESTA COMERCIAL"/>
    <n v="100"/>
    <s v="ENTREGAR PROPUESTA"/>
    <n v="100"/>
    <s v="SIN CAMBIOS"/>
    <n v="100"/>
    <m/>
    <x v="0"/>
    <s v="PRODUCTOS GENERALES|En seguimiento"/>
    <s v="Media"/>
    <m/>
    <s v="PRODUCTOS GENERALES"/>
    <s v="JUNIO"/>
    <m/>
    <d v="2026-06-01T00:00:00"/>
    <d v="2026-06-01T00:00:00"/>
    <m/>
    <n v="20000000"/>
  </r>
  <r>
    <x v="1"/>
    <x v="1"/>
    <s v="CONEXIÓN PRISA"/>
    <n v="20000000"/>
    <s v="CONEXIÓN PRISA_x000a_Una dinámica comercial que presenta productos digitales exclusivos para cada rubro, impulsando oportunidades de negocio en tiempo real."/>
    <m/>
    <m/>
    <s v="Entregar la propuesta digital al area comercial"/>
    <n v="100"/>
    <s v="Seguimiento – Evento 22 de julio"/>
    <n v="50"/>
    <m/>
    <m/>
    <m/>
    <x v="0"/>
    <s v="PRODUCTOS GENERALES|En seguimiento"/>
    <s v="Alta"/>
    <m/>
    <s v="PRODUCTOS GENERALES"/>
    <s v="JULIO"/>
    <m/>
    <d v="2026-07-06T00:00:00"/>
    <d v="2026-07-06T00:00:00"/>
    <s v="Producto_Digital-CONEXIÓN PRISA.pptx"/>
    <n v="20000000"/>
  </r>
  <r>
    <x v="2"/>
    <x v="2"/>
    <s v="MANTEQUILLA LA BUENA"/>
    <n v="40000000"/>
    <s v="PROPUESTA CAPSULAS FRANQUICIAS "/>
    <m/>
    <m/>
    <s v="GENERAR PROPUESTA COMERCIAL"/>
    <n v="100"/>
    <s v="ENTREGAR PROPUESTA"/>
    <n v="100"/>
    <s v="SIN CAMBIOS"/>
    <n v="100"/>
    <m/>
    <x v="0"/>
    <s v="N1|En seguimiento"/>
    <s v="Media"/>
    <m/>
    <s v="Jaidy Morales"/>
    <s v="JUNIO"/>
    <m/>
    <d v="2026-06-22T00:00:00"/>
    <d v="2026-07-22T00:00:00"/>
    <s v="PRODUCTO DIGITAL - LA BUENA.pptx"/>
    <n v="42014863"/>
  </r>
  <r>
    <x v="2"/>
    <x v="3"/>
    <s v="yale"/>
    <n v="0"/>
    <s v="DESARROLO DE PROPUESTA DIGITAL"/>
    <m/>
    <m/>
    <s v="GENERAR PROPUESTA COMERCIAL"/>
    <m/>
    <m/>
    <m/>
    <m/>
    <m/>
    <m/>
    <x v="1"/>
    <s v="N1|Por Mejorar"/>
    <s v="Alta"/>
    <m/>
    <s v="Diana Contreras Rodriguez"/>
    <m/>
    <m/>
    <m/>
    <m/>
    <m/>
    <n v="0"/>
  </r>
  <r>
    <x v="2"/>
    <x v="4"/>
    <s v="cafam"/>
    <n v="0"/>
    <s v="DESARROLO DE PROPUESTA DIGITAL"/>
    <m/>
    <m/>
    <s v="GENERAR PROPUESTA COMERCIAL"/>
    <m/>
    <m/>
    <m/>
    <m/>
    <m/>
    <m/>
    <x v="1"/>
    <s v="N1|Por Mejorar"/>
    <s v="Alta"/>
    <m/>
    <s v="Rosa Diaz"/>
    <m/>
    <m/>
    <m/>
    <m/>
    <m/>
    <n v="0"/>
  </r>
  <r>
    <x v="2"/>
    <x v="4"/>
    <s v="koala"/>
    <n v="0"/>
    <s v="DESARROLO DE PROPUESTA DIGITAL"/>
    <m/>
    <m/>
    <s v="GENERAR PROPUESTA COMERCIAL"/>
    <m/>
    <m/>
    <m/>
    <m/>
    <m/>
    <m/>
    <x v="1"/>
    <s v="N1|Por Mejorar"/>
    <s v="Alta"/>
    <m/>
    <s v="Rosa Diaz"/>
    <m/>
    <m/>
    <m/>
    <m/>
    <m/>
    <n v="0"/>
  </r>
  <r>
    <x v="2"/>
    <x v="4"/>
    <s v="nissan"/>
    <n v="0"/>
    <s v="DESARROLO DE PROPUESTA DIGITAL"/>
    <m/>
    <m/>
    <s v="GENERAR PROPUESTA COMERCIAL"/>
    <m/>
    <m/>
    <m/>
    <m/>
    <m/>
    <m/>
    <x v="1"/>
    <s v="N1|Por Mejorar"/>
    <s v="Alta"/>
    <m/>
    <s v="Rosa Diaz"/>
    <m/>
    <m/>
    <m/>
    <m/>
    <m/>
    <n v="0"/>
  </r>
  <r>
    <x v="2"/>
    <x v="4"/>
    <s v="porche"/>
    <n v="0"/>
    <s v="DESARROLO DE PROPUESTA DIGITAL"/>
    <m/>
    <m/>
    <s v="GENERAR PROPUESTA COMERCIAL"/>
    <m/>
    <m/>
    <m/>
    <m/>
    <m/>
    <m/>
    <x v="1"/>
    <s v="N1|Por Mejorar"/>
    <s v="Alta"/>
    <m/>
    <s v="Rosa Diaz"/>
    <m/>
    <m/>
    <m/>
    <m/>
    <m/>
    <n v="0"/>
  </r>
  <r>
    <x v="2"/>
    <x v="5"/>
    <s v="samsung"/>
    <n v="0"/>
    <s v="DESARROLO DE PROPUESTA DIGITAL"/>
    <m/>
    <m/>
    <s v="GENERAR PROPUESTA COMERCIAL"/>
    <m/>
    <m/>
    <m/>
    <m/>
    <m/>
    <m/>
    <x v="1"/>
    <s v="N1|Por Mejorar"/>
    <s v="Alta"/>
    <m/>
    <s v="Felipe Guillen"/>
    <m/>
    <m/>
    <m/>
    <m/>
    <m/>
    <n v="0"/>
  </r>
  <r>
    <x v="2"/>
    <x v="3"/>
    <s v="plexi"/>
    <n v="0"/>
    <s v="DESARROLO DE PROPUESTA DIGITAL"/>
    <m/>
    <m/>
    <s v="GENERAR PROPUESTA COMERCIAL"/>
    <m/>
    <m/>
    <m/>
    <m/>
    <m/>
    <m/>
    <x v="1"/>
    <s v="N1|Por Mejorar"/>
    <s v="Alta"/>
    <m/>
    <s v="Diana Contreras Rodriguez"/>
    <m/>
    <m/>
    <m/>
    <m/>
    <m/>
    <n v="0"/>
  </r>
  <r>
    <x v="2"/>
    <x v="5"/>
    <s v="primax"/>
    <n v="0"/>
    <s v="DESARROLO DE PROPUESTA DIGITAL"/>
    <m/>
    <m/>
    <s v="GENERAR PROPUESTA COMERCIAL"/>
    <m/>
    <m/>
    <m/>
    <m/>
    <m/>
    <m/>
    <x v="1"/>
    <s v="N1|Por Mejorar"/>
    <s v="Alta"/>
    <m/>
    <s v="Felipe Guillen"/>
    <m/>
    <m/>
    <m/>
    <m/>
    <m/>
    <n v="0"/>
  </r>
  <r>
    <x v="2"/>
    <x v="6"/>
    <s v="colsanitas"/>
    <n v="0"/>
    <s v="DESARROLO DE PROPUESTA DIGITAL"/>
    <m/>
    <m/>
    <s v="GENERAR PROPUESTA COMERCIAL"/>
    <m/>
    <m/>
    <m/>
    <m/>
    <m/>
    <m/>
    <x v="1"/>
    <s v="N1|Por Mejorar"/>
    <s v="Alta"/>
    <m/>
    <s v="Carolina Diaz"/>
    <m/>
    <m/>
    <m/>
    <m/>
    <m/>
    <n v="0"/>
  </r>
  <r>
    <x v="2"/>
    <x v="6"/>
    <s v="proseguro"/>
    <n v="0"/>
    <s v="DESARROLO DE PROPUESTA DIGITAL"/>
    <m/>
    <m/>
    <s v="GENERAR PROPUESTA COMERCIAL"/>
    <m/>
    <m/>
    <m/>
    <m/>
    <m/>
    <m/>
    <x v="1"/>
    <s v="N1|Por Mejorar"/>
    <s v="Alta"/>
    <m/>
    <s v="Carolina Diaz"/>
    <m/>
    <m/>
    <m/>
    <m/>
    <m/>
    <n v="0"/>
  </r>
  <r>
    <x v="2"/>
    <x v="6"/>
    <s v="kellogs"/>
    <n v="0"/>
    <s v="DESARROLO DE PROPUESTA DIGITAL"/>
    <m/>
    <m/>
    <s v="GENERAR PROPUESTA COMERCIAL"/>
    <m/>
    <m/>
    <m/>
    <m/>
    <m/>
    <m/>
    <x v="1"/>
    <s v="N1|Por Mejorar"/>
    <s v="Alta"/>
    <m/>
    <s v="Carolina Diaz"/>
    <m/>
    <m/>
    <m/>
    <m/>
    <m/>
    <n v="0"/>
  </r>
  <r>
    <x v="2"/>
    <x v="6"/>
    <s v="ajinomoto"/>
    <n v="0"/>
    <s v="DESARROLO DE PROPUESTA DIGITAL"/>
    <m/>
    <m/>
    <s v="GENERAR PROPUESTA COMERCIAL"/>
    <m/>
    <m/>
    <m/>
    <m/>
    <m/>
    <m/>
    <x v="1"/>
    <s v="N1|Por Mejorar"/>
    <s v="Alta"/>
    <m/>
    <s v="Carolina Diaz"/>
    <m/>
    <m/>
    <m/>
    <m/>
    <m/>
    <n v="0"/>
  </r>
  <r>
    <x v="2"/>
    <x v="3"/>
    <s v="knorr "/>
    <n v="0"/>
    <s v="DESARROLO DE PROPUESTA DIGITAL"/>
    <m/>
    <m/>
    <s v="GENERAR PROPUESTA COMERCIAL"/>
    <m/>
    <m/>
    <m/>
    <m/>
    <m/>
    <m/>
    <x v="1"/>
    <s v="N1|Por Mejorar"/>
    <s v="Alta"/>
    <m/>
    <s v="Diana Contreras Rodriguez"/>
    <m/>
    <m/>
    <m/>
    <m/>
    <m/>
    <n v="0"/>
  </r>
  <r>
    <x v="2"/>
    <x v="6"/>
    <s v="supermercado makro"/>
    <n v="0"/>
    <s v="DESARROLO DE PROPUESTA DIGITAL"/>
    <m/>
    <m/>
    <s v="GENERAR PROPUESTA COMERCIAL"/>
    <m/>
    <m/>
    <m/>
    <m/>
    <m/>
    <m/>
    <x v="1"/>
    <s v="N1|Por Mejorar"/>
    <s v="Alta"/>
    <m/>
    <s v="Carolina Diaz"/>
    <m/>
    <m/>
    <m/>
    <m/>
    <m/>
    <n v="0"/>
  </r>
  <r>
    <x v="2"/>
    <x v="7"/>
    <s v="casa luker"/>
    <n v="0"/>
    <s v="DESARROLO DE PROPUESTA DIGITAL"/>
    <m/>
    <m/>
    <s v="GENERAR PROPUESTA COMERCIAL"/>
    <m/>
    <m/>
    <m/>
    <m/>
    <m/>
    <m/>
    <x v="1"/>
    <s v="N1|Por Mejorar"/>
    <s v="Alta"/>
    <m/>
    <s v="Andrea Morales"/>
    <m/>
    <m/>
    <m/>
    <m/>
    <m/>
    <n v="0"/>
  </r>
  <r>
    <x v="2"/>
    <x v="7"/>
    <s v="alqueria"/>
    <n v="0"/>
    <s v="DESARROLO DE PROPUESTA DIGITAL"/>
    <m/>
    <m/>
    <s v="GENERAR PROPUESTA COMERCIAL"/>
    <m/>
    <m/>
    <m/>
    <m/>
    <m/>
    <m/>
    <x v="1"/>
    <s v="N1|Por Mejorar"/>
    <s v="Alta"/>
    <m/>
    <s v="Andrea Morales"/>
    <m/>
    <m/>
    <m/>
    <m/>
    <m/>
    <n v="0"/>
  </r>
  <r>
    <x v="2"/>
    <x v="7"/>
    <s v="volvo"/>
    <n v="0"/>
    <s v="DESARROLO DE PROPUESTA DIGITAL"/>
    <m/>
    <m/>
    <s v="GENERAR PROPUESTA COMERCIAL"/>
    <m/>
    <m/>
    <m/>
    <m/>
    <m/>
    <m/>
    <x v="1"/>
    <s v="N1|Por Mejorar"/>
    <s v="Alta"/>
    <m/>
    <s v="Andrea Morales"/>
    <m/>
    <m/>
    <m/>
    <m/>
    <m/>
    <n v="0"/>
  </r>
  <r>
    <x v="2"/>
    <x v="7"/>
    <s v="caja social"/>
    <n v="0"/>
    <s v="DESARROLO DE PROPUESTA DIGITAL"/>
    <m/>
    <m/>
    <s v="GENERAR PROPUESTA COMERCIAL"/>
    <m/>
    <m/>
    <m/>
    <m/>
    <m/>
    <m/>
    <x v="1"/>
    <s v="N1|Por Mejorar"/>
    <s v="Alta"/>
    <m/>
    <s v="Andrea Morales"/>
    <m/>
    <m/>
    <m/>
    <m/>
    <m/>
    <n v="0"/>
  </r>
  <r>
    <x v="2"/>
    <x v="8"/>
    <s v="ramo"/>
    <n v="0"/>
    <s v="DESARROLO DE PROPUESTA DIGITAL"/>
    <m/>
    <m/>
    <s v="GENERAR PROPUESTA COMERCIAL"/>
    <m/>
    <m/>
    <m/>
    <m/>
    <m/>
    <m/>
    <x v="1"/>
    <s v="N1|Por Mejorar"/>
    <s v="Alta"/>
    <m/>
    <s v="Natalia Zambrano"/>
    <m/>
    <m/>
    <m/>
    <m/>
    <m/>
    <n v="0"/>
  </r>
  <r>
    <x v="2"/>
    <x v="8"/>
    <s v="spotify"/>
    <n v="0"/>
    <s v="DESARROLO DE PROPUESTA DIGITAL"/>
    <m/>
    <m/>
    <s v="GENERAR PROPUESTA COMERCIAL"/>
    <m/>
    <m/>
    <m/>
    <m/>
    <m/>
    <m/>
    <x v="1"/>
    <s v="N1|Por Mejorar"/>
    <s v="Alta"/>
    <m/>
    <s v="Natalia Zambrano"/>
    <m/>
    <m/>
    <m/>
    <m/>
    <m/>
    <n v="0"/>
  </r>
  <r>
    <x v="2"/>
    <x v="5"/>
    <s v="Don Julio"/>
    <n v="15000000"/>
    <s v="Ruta del gol"/>
    <m/>
    <m/>
    <s v="se paso la propuesta ruta del gol"/>
    <n v="100"/>
    <s v="acaptaron la propuesta"/>
    <n v="100"/>
    <s v="La propuesta fue aprobada por el cliente. Actualmente nos encontramos a la espera de su ejecución."/>
    <n v="100"/>
    <m/>
    <x v="2"/>
    <s v="N1|Cerrada"/>
    <m/>
    <m/>
    <s v="Felipe Guillen"/>
    <s v="JUNIO"/>
    <m/>
    <d v="2026-06-25T00:00:00"/>
    <d v="2026-06-25T00:00:00"/>
    <s v="PRODUCTO DIGITAL-LA RUTA DEL GOL.pptx"/>
    <n v="17000000"/>
  </r>
  <r>
    <x v="2"/>
    <x v="7"/>
    <s v="Arturo Calle "/>
    <n v="50000000"/>
    <s v="DESARROLO DE PROPUESTA DIGITAL"/>
    <m/>
    <m/>
    <s v="Entregar la propuesta digital y su valorización al ejecutivo correspondiente."/>
    <n v="100"/>
    <s v="En Proceso"/>
    <n v="50"/>
    <m/>
    <m/>
    <m/>
    <x v="0"/>
    <s v="N1|En seguimiento"/>
    <s v="Alta"/>
    <m/>
    <s v="Andrea Morales"/>
    <s v="JULIO"/>
    <m/>
    <d v="2026-07-02T00:00:00"/>
    <d v="2026-07-02T00:00:00"/>
    <s v="EL TOUR DEL ESTILO.pptx"/>
    <n v="76000000"/>
  </r>
  <r>
    <x v="2"/>
    <x v="6"/>
    <s v="ADIDAS"/>
    <n v="35000000"/>
    <s v="DESARROLO DE PROPUESTA DIGITAL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m/>
    <m/>
    <m/>
    <x v="0"/>
    <s v="N1|En seguimiento"/>
    <s v="Media"/>
    <m/>
    <s v="Carolina Diaz"/>
    <s v="JULIO"/>
    <m/>
    <d v="2026-07-09T00:00:00"/>
    <d v="2026-07-09T00:00:00"/>
    <s v="PROPUESTA ADIDAS.pptx"/>
    <n v="39000000"/>
  </r>
  <r>
    <x v="2"/>
    <x v="6"/>
    <s v="HONOR"/>
    <n v="40000000"/>
    <s v="DESARROLO DE PROPUESTA DIGITAL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m/>
    <m/>
    <m/>
    <x v="0"/>
    <s v="N1|En seguimiento"/>
    <s v="Media"/>
    <m/>
    <s v="Carolina Diaz"/>
    <s v="JULIO"/>
    <m/>
    <d v="2026-07-09T00:00:00"/>
    <d v="2026-07-09T00:00:00"/>
    <s v="PROPUESTA COMERCIAL HONOR.pptx"/>
    <n v="39420000"/>
  </r>
  <r>
    <x v="2"/>
    <x v="6"/>
    <s v="NIKE"/>
    <n v="35000000"/>
    <s v="DESARROLO DE PROPUESTA DIGITAL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m/>
    <m/>
    <m/>
    <x v="0"/>
    <s v="N1|En seguimiento"/>
    <s v="Media"/>
    <m/>
    <s v="Carolina Diaz"/>
    <s v="JULIO"/>
    <m/>
    <d v="2026-07-10T00:00:00"/>
    <d v="2026-07-10T00:00:00"/>
    <s v="PROPUESTA NIKE.pptx"/>
    <n v="39000000"/>
  </r>
  <r>
    <x v="2"/>
    <x v="8"/>
    <s v="AMAZON"/>
    <n v="30000000"/>
    <s v="DESARROLO DE PROPUESTA DIGITAL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m/>
    <m/>
    <m/>
    <x v="0"/>
    <s v="N1|En seguimiento"/>
    <s v="Media"/>
    <m/>
    <s v="Natalia Zambrano"/>
    <s v="JULIO"/>
    <m/>
    <d v="2026-07-10T00:00:00"/>
    <d v="2026-07-10T00:00:00"/>
    <s v="PROPUESTA AMAZON ECOMMERCE.pptx"/>
    <n v="32600000"/>
  </r>
  <r>
    <x v="3"/>
    <x v="9"/>
    <s v="COLFONDOS S.A. PENSIONES Y CESANTIAS"/>
    <s v="$ 92.198.334,00 "/>
    <s v="Tiene un decrecimiento en su participación del mercado de 91%.  Y dejarón de invertir en la radio."/>
    <m/>
    <m/>
    <s v="GENERAR PROPUESTA COMERCIAL"/>
    <n v="100"/>
    <s v="Entregar la propuesta digital y su valorización al ejecutivo correspondiente."/>
    <n v="100"/>
    <s v="Realizar seguimiento a la propuesta para conocer su estado, confirmar si se concretó el cierre e identificar oportunidades de mejora."/>
    <n v="25"/>
    <s v="En seguimiento"/>
    <x v="0"/>
    <s v="N2|En seguimiento"/>
    <s v="Media"/>
    <m/>
    <s v="Camilo Prada"/>
    <s v="JUNIO"/>
    <m/>
    <d v="2026-06-04T00:00:00"/>
    <d v="2026-06-23T00:00:00"/>
    <s v="PRODUCTO DIGITAL - COLFONDOS.pptx"/>
    <n v="30000000"/>
  </r>
  <r>
    <x v="3"/>
    <x v="9"/>
    <s v="BIOCOMBUSTIBLES S.A."/>
    <n v="42050587"/>
    <s v="Tiene un cremiento en su participación del mercado de 77%. Radio tiene un crecimiento del 25%. Pero Prisa Media pierde la participación frente a RCN y Radio Polis."/>
    <m/>
    <m/>
    <s v="GENERAR PROPUESTA COMERCIAL"/>
    <n v="100"/>
    <s v="Entregar la propuesta digital y su valorización al ejecutivo correspondiente."/>
    <n v="100"/>
    <s v="Con base en la retroalimentación del cliente, se ajusta la propuesta para la campaña específica y se entrega la versión final para su validación."/>
    <n v="100"/>
    <m/>
    <x v="0"/>
    <s v="N2|En seguimiento"/>
    <s v="Media"/>
    <m/>
    <s v="Camilo Prada"/>
    <s v="JUNIO"/>
    <m/>
    <d v="2026-06-23T00:00:00"/>
    <d v="2026-07-03T00:00:00"/>
    <s v="Producto_Digital-EL MUNDIAL SE JUEGA CON BIOMAX.pptx"/>
    <n v="30000000"/>
  </r>
  <r>
    <x v="3"/>
    <x v="9"/>
    <s v="BEIJING XIAOMI MOBILE SOFTWARE CO LTD"/>
    <n v="24015738"/>
    <s v="Tiene un decrecimiento en su participación dell mercado de 82%.  Y dejarón de invertir en la radio"/>
    <m/>
    <m/>
    <s v="GENERAR PROPUESTA COMERCIAL"/>
    <n v="0"/>
    <m/>
    <n v="0"/>
    <m/>
    <n v="0"/>
    <m/>
    <x v="1"/>
    <s v="N2|Por Mejorar"/>
    <s v="Alta"/>
    <m/>
    <s v="Camilo Prada"/>
    <m/>
    <m/>
    <m/>
    <m/>
    <m/>
    <n v="0"/>
  </r>
  <r>
    <x v="3"/>
    <x v="9"/>
    <s v="FEDERACION NACIONAL DE CULTIVADORES DE PALMA DE ACEITE"/>
    <n v="0"/>
    <s v="Tiene un crecimiento en su participación del mercado de 132%. Pero no tiene participación en la Radio."/>
    <m/>
    <m/>
    <s v="GENERAR PROPUESTA COMERCIAL"/>
    <n v="0"/>
    <m/>
    <n v="0"/>
    <m/>
    <n v="0"/>
    <m/>
    <x v="1"/>
    <s v="N2|Por Mejorar"/>
    <s v="Alta"/>
    <m/>
    <s v="Camilo Prada"/>
    <m/>
    <m/>
    <m/>
    <m/>
    <m/>
    <n v="0"/>
  </r>
  <r>
    <x v="3"/>
    <x v="9"/>
    <s v="LABORATORIOS BUSSIE SA"/>
    <n v="0"/>
    <s v="Tienen un decrecimiento en su participación dell mercado de 69%.  Y tiene toda su participación en Diarios."/>
    <m/>
    <m/>
    <s v="GENERAR PROPUESTA COMERCIAL"/>
    <n v="0"/>
    <m/>
    <n v="0"/>
    <m/>
    <n v="0"/>
    <m/>
    <x v="1"/>
    <s v="N2|Por Mejorar"/>
    <s v="Alta"/>
    <m/>
    <s v="Camilo Prada"/>
    <m/>
    <m/>
    <m/>
    <m/>
    <m/>
    <n v="0"/>
  </r>
  <r>
    <x v="3"/>
    <x v="10"/>
    <s v="DISTRIBUIDORA TOYOTA S.A.S."/>
    <n v="28067985"/>
    <s v="Tiene un decrecimiento en su participación del mercado de 32%. Tienen el 61% de participación en la Radio, y Prisa Media  perdio participación en el medio radial."/>
    <m/>
    <m/>
    <s v="GENERAR PROPUESTA COMERCIAL"/>
    <n v="100"/>
    <s v="Entregar la propuesta digital y su valorización al ejecutivo correspondiente."/>
    <n v="100"/>
    <s v="Realizar seguimiento a la propuesta para conocer su estado, confirmar si se concretó el cierre e identificar oportunidades de mejora. "/>
    <n v="100"/>
    <m/>
    <x v="0"/>
    <s v="N2|En seguimiento"/>
    <s v="Media"/>
    <m/>
    <s v="Luisa Escobar"/>
    <s v="JUNIO"/>
    <m/>
    <d v="2026-06-04T00:00:00"/>
    <d v="2026-06-24T00:00:00"/>
    <s v="PRODUCTO DIGITAL DISTOYOTA.pptx"/>
    <n v="54244200"/>
  </r>
  <r>
    <x v="3"/>
    <x v="10"/>
    <s v="BRECCIA SALUD S A S"/>
    <n v="1370600"/>
    <s v="Tiene un decrecimiento en la participación del mercado de 25%. Tiene el 37% de participaón en la Radio, Prisa Media tiene el 6% perdiendo participación con RCN."/>
    <m/>
    <m/>
    <s v="GENERAR PROPUESTA COMERCIAL"/>
    <n v="100"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m/>
    <x v="0"/>
    <s v="N2|En seguimiento"/>
    <s v="Media"/>
    <m/>
    <s v="Luisa Escobar"/>
    <s v="JUNIO"/>
    <m/>
    <d v="2026-06-04T00:00:00"/>
    <d v="2026-06-25T00:00:00"/>
    <s v="Producto_Digital_EN EQUILIBRIO.pptx"/>
    <n v="30200000"/>
  </r>
  <r>
    <x v="3"/>
    <x v="10"/>
    <s v="GRUPO EMPRESARIAL OIKOS S.A.S."/>
    <n v="0"/>
    <s v="Tiene un crecimeinto en la participación del mercado de 300%.  Y tiene su participación en los medios Digital y Vias Publicas."/>
    <m/>
    <m/>
    <s v="GENERAR PROPUESTA COMERCIAL"/>
    <n v="0"/>
    <m/>
    <n v="0"/>
    <m/>
    <n v="0"/>
    <m/>
    <x v="1"/>
    <s v="N2|Por Mejorar"/>
    <s v="Alta"/>
    <m/>
    <s v="Luisa Escobar"/>
    <m/>
    <m/>
    <m/>
    <m/>
    <m/>
    <n v="0"/>
  </r>
  <r>
    <x v="3"/>
    <x v="11"/>
    <s v="GRUPO EMPRESARIAL EN LINEA S.A."/>
    <n v="17507282"/>
    <s v="Tiene un decrecimiento en su participación del mercado de 59%. Y la Radio tiene un participación del 10%, Prisa Media tiene el 30% de la participación en l aradio. Perdiendo participación frente a Oro."/>
    <m/>
    <m/>
    <s v="GENERAR PROPUESTA COMERCIAL"/>
    <n v="0"/>
    <m/>
    <n v="0"/>
    <m/>
    <n v="0"/>
    <m/>
    <x v="1"/>
    <s v="N2|Por Mejorar"/>
    <s v="Alta"/>
    <m/>
    <s v="Lina Lemus"/>
    <m/>
    <m/>
    <m/>
    <m/>
    <m/>
    <n v="0"/>
  </r>
  <r>
    <x v="3"/>
    <x v="11"/>
    <s v="OPELLA HEALTHCARE COLOMBIA S.A.S."/>
    <n v="86896644"/>
    <s v="Tiene un decrecimiento en la participación del mercado de 75%, La radio tiene una participación del 2%, Y Prisa Media tiene el 88% de la participación en la Radio."/>
    <m/>
    <m/>
    <s v="GENERAR PROPUESTA COMERCIAL"/>
    <n v="0"/>
    <m/>
    <n v="0"/>
    <m/>
    <n v="0"/>
    <m/>
    <x v="1"/>
    <s v="N2|Por Mejorar"/>
    <s v="Alta"/>
    <m/>
    <s v="Lina Lemus"/>
    <m/>
    <m/>
    <m/>
    <m/>
    <m/>
    <n v="0"/>
  </r>
  <r>
    <x v="3"/>
    <x v="11"/>
    <s v="MERCADO LIBRE"/>
    <n v="30000000"/>
    <s v="PROPUESTA DIGITAL DINAMICA CAJA  SORPRESA + PUNTOS"/>
    <m/>
    <m/>
    <s v="GENERAR PROPUESTA COMERCIAL"/>
    <n v="100"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m/>
    <x v="3"/>
    <s v="N2|Por cerrar"/>
    <s v="Media"/>
    <m/>
    <s v="Lina Lemus"/>
    <s v="JUNIO"/>
    <m/>
    <d v="2026-06-04T00:00:00"/>
    <d v="2026-06-08T00:00:00"/>
    <s v="Producto_Digital_MERCADO LIBRE LIVE COMMERCE.pptx"/>
    <n v="30000000"/>
  </r>
  <r>
    <x v="3"/>
    <x v="10"/>
    <s v="cencosud"/>
    <n v="0"/>
    <m/>
    <m/>
    <m/>
    <s v="GENERAR PROPUESTA COMERCIAL"/>
    <m/>
    <m/>
    <m/>
    <m/>
    <m/>
    <m/>
    <x v="1"/>
    <s v="N2|Por Mejorar"/>
    <s v="Alta"/>
    <m/>
    <s v="Luisa Escobar"/>
    <m/>
    <m/>
    <m/>
    <m/>
    <m/>
    <n v="0"/>
  </r>
  <r>
    <x v="3"/>
    <x v="10"/>
    <s v="jumbo"/>
    <n v="0"/>
    <m/>
    <m/>
    <m/>
    <s v="GENERAR PROPUESTA COMERCIAL"/>
    <m/>
    <m/>
    <m/>
    <m/>
    <m/>
    <m/>
    <x v="1"/>
    <s v="N2|Por Mejorar"/>
    <s v="Alta"/>
    <m/>
    <s v="Luisa Escobar"/>
    <m/>
    <m/>
    <m/>
    <m/>
    <m/>
    <n v="0"/>
  </r>
  <r>
    <x v="3"/>
    <x v="11"/>
    <s v="vanti"/>
    <n v="0"/>
    <m/>
    <m/>
    <m/>
    <s v="GENERAR PROPUESTA COMERCIAL"/>
    <m/>
    <m/>
    <m/>
    <m/>
    <m/>
    <m/>
    <x v="1"/>
    <s v="N2|Por Mejorar"/>
    <s v="Alta"/>
    <m/>
    <s v="Lina Lemus"/>
    <m/>
    <m/>
    <m/>
    <m/>
    <m/>
    <n v="0"/>
  </r>
  <r>
    <x v="3"/>
    <x v="10"/>
    <s v="davivienda"/>
    <n v="0"/>
    <m/>
    <m/>
    <m/>
    <s v="GENERAR PROPUESTA COMERCIAL"/>
    <m/>
    <m/>
    <m/>
    <m/>
    <m/>
    <m/>
    <x v="1"/>
    <s v="N2|Por Mejorar"/>
    <s v="Alta"/>
    <m/>
    <s v="Luisa Escobar"/>
    <m/>
    <m/>
    <m/>
    <m/>
    <m/>
    <n v="0"/>
  </r>
  <r>
    <x v="3"/>
    <x v="11"/>
    <s v="Nu bank"/>
    <n v="0"/>
    <m/>
    <m/>
    <m/>
    <s v="GENERAR PROPUESTA COMERCIAL"/>
    <m/>
    <m/>
    <m/>
    <m/>
    <m/>
    <m/>
    <x v="1"/>
    <s v="N2|Por Mejorar"/>
    <s v="Alta"/>
    <m/>
    <s v="Lina Lemus"/>
    <m/>
    <m/>
    <m/>
    <m/>
    <m/>
    <n v="0"/>
  </r>
  <r>
    <x v="3"/>
    <x v="11"/>
    <s v="FENAVI"/>
    <n v="40000000"/>
    <s v="DESARROLO DE PROPUESTA DIGITAL"/>
    <m/>
    <m/>
    <s v="Entregar la propuesta digital y su valorización al ejecutivo correspondiente."/>
    <n v="100"/>
    <s v="La propuesta fue presentada al cliente "/>
    <n v="100"/>
    <s v="El cliente acepta la propuesta y esta queda pendiente de ejecución."/>
    <m/>
    <m/>
    <x v="3"/>
    <s v="N2|Por cerrar"/>
    <s v="Media"/>
    <m/>
    <s v="Lina Lemus"/>
    <s v="JULIO"/>
    <m/>
    <d v="2026-07-01T00:00:00"/>
    <d v="2026-07-01T00:00:00"/>
    <s v="Producto_Digital-La proteína que une a Colombia- FENAVI.pptx"/>
    <n v="40000000"/>
  </r>
  <r>
    <x v="4"/>
    <x v="12"/>
    <s v="INVERSIONES GLP S.A.S. E.S.P."/>
    <n v="38566800"/>
    <s v="Tiene un decrecimiento en su participación del mercado de 99%. Tiene toda su participación en Diarios."/>
    <m/>
    <m/>
    <s v="GENERAR PROPUESTA COMERCIAL"/>
    <n v="0"/>
    <m/>
    <n v="0"/>
    <m/>
    <n v="0"/>
    <m/>
    <x v="1"/>
    <s v="N3|Por Mejorar"/>
    <s v="Alta"/>
    <m/>
    <s v="Helen Fajardo"/>
    <m/>
    <m/>
    <m/>
    <m/>
    <m/>
    <n v="0"/>
  </r>
  <r>
    <x v="4"/>
    <x v="12"/>
    <s v="UNIVERSIDAD EUROPEA"/>
    <n v="40000000"/>
    <s v="PROPUESTA DIGITAL TODO Y MAS + FRANQUICIAS "/>
    <m/>
    <m/>
    <s v="GENERAR PROPUESTA COMERCIAL"/>
    <n v="100"/>
    <s v="ENTREGAR PROPUESTA"/>
    <n v="100"/>
    <s v="SIN CAMBIOS"/>
    <n v="100"/>
    <m/>
    <x v="0"/>
    <s v="N3|En seguimiento"/>
    <s v="Media"/>
    <m/>
    <s v="Helen Fajardo"/>
    <s v="JUNIO"/>
    <m/>
    <d v="2026-06-12T00:00:00"/>
    <d v="2026-06-12T00:00:00"/>
    <s v="PRODUCTO DIGITAL - FUTURO GLOBAL 1.pptx"/>
    <n v="46437280"/>
  </r>
  <r>
    <x v="4"/>
    <x v="13"/>
    <s v="Claro"/>
    <n v="0"/>
    <s v="e-commerce / venta digital, tecnologia, ciberseguridad, servisios de fibra, facturacion electronica"/>
    <m/>
    <m/>
    <s v="GENERAR PROPUESTA COMERCIAL"/>
    <m/>
    <m/>
    <m/>
    <m/>
    <m/>
    <m/>
    <x v="1"/>
    <s v="N3|Por Mejorar"/>
    <s v="Alta"/>
    <m/>
    <s v="Hugo Urrea"/>
    <m/>
    <m/>
    <m/>
    <m/>
    <m/>
    <n v="0"/>
  </r>
  <r>
    <x v="4"/>
    <x v="13"/>
    <s v="Politecnico"/>
    <n v="0"/>
    <s v="Leads - calidad - no registro - matricula"/>
    <m/>
    <m/>
    <s v="GENERAR PROPUESTA COMERCIAL"/>
    <m/>
    <m/>
    <m/>
    <m/>
    <m/>
    <m/>
    <x v="1"/>
    <s v="N3|Por Mejorar"/>
    <s v="Alta"/>
    <m/>
    <s v="Hugo Urrea"/>
    <m/>
    <m/>
    <m/>
    <m/>
    <m/>
    <n v="0"/>
  </r>
  <r>
    <x v="4"/>
    <x v="14"/>
    <s v="corona"/>
    <n v="0"/>
    <s v="este año su campaña es muy visual NSE alto / se le ha ofrecido figital pero no les gusta "/>
    <m/>
    <m/>
    <s v="GENERAR PROPUESTA COMERCIAL"/>
    <m/>
    <m/>
    <m/>
    <m/>
    <m/>
    <m/>
    <x v="1"/>
    <s v="N3|Por Mejorar"/>
    <s v="Alta"/>
    <m/>
    <s v="Sofia Calvera"/>
    <m/>
    <m/>
    <m/>
    <m/>
    <m/>
    <n v="0"/>
  </r>
  <r>
    <x v="4"/>
    <x v="15"/>
    <s v="U area andina"/>
    <n v="0"/>
    <s v="Leads - calidad x inscripciones"/>
    <m/>
    <m/>
    <s v="GENERAR PROPUESTA COMERCIAL"/>
    <m/>
    <m/>
    <m/>
    <m/>
    <m/>
    <m/>
    <x v="1"/>
    <s v="N3|Por Mejorar"/>
    <s v="Alta"/>
    <m/>
    <s v="Elsa Cortez"/>
    <m/>
    <m/>
    <m/>
    <m/>
    <m/>
    <n v="0"/>
  </r>
  <r>
    <x v="4"/>
    <x v="12"/>
    <s v="Motai"/>
    <n v="0"/>
    <s v="es un app para comprar Moto facil, la idea es mostrar como  es de facil adquirir su moto. Preosupesto bajo"/>
    <m/>
    <m/>
    <s v="GENERAR PROPUESTA COMERCIAL"/>
    <m/>
    <m/>
    <m/>
    <m/>
    <m/>
    <m/>
    <x v="1"/>
    <s v="N3|Por Mejorar"/>
    <s v="Alta"/>
    <m/>
    <s v="Helen Fajardo"/>
    <m/>
    <m/>
    <m/>
    <m/>
    <m/>
    <n v="0"/>
  </r>
  <r>
    <x v="4"/>
    <x v="16"/>
    <s v="paramo"/>
    <n v="15000000"/>
    <s v="solo nos ven como radio pero hacen pauta en otro lado, necesitamos vendernos como plataforma digital"/>
    <m/>
    <m/>
    <s v="GENERAR PROPUESTA COMERCIAL"/>
    <n v="100"/>
    <s v="Propuesta entregada"/>
    <n v="100"/>
    <s v="Realizar seguimiento a la propuesta para conocer su estado, confirmar si se concretó el cierre e identificar oportunidades de mejora."/>
    <n v="50"/>
    <m/>
    <x v="0"/>
    <s v="N3|En seguimiento"/>
    <s v="Media"/>
    <m/>
    <s v="Laura Melo"/>
    <s v="JULIO"/>
    <m/>
    <d v="2026-05-26T00:00:00"/>
    <d v="2026-07-21T00:00:00"/>
    <s v="PROPUESTA PARAMO PRESENTA.pptx"/>
    <n v="16880000"/>
  </r>
  <r>
    <x v="4"/>
    <x v="17"/>
    <s v="NESTOGENO"/>
    <n v="50000000"/>
    <s v="solicitud de propuesta digital a medida"/>
    <m/>
    <m/>
    <s v="generar propuesta"/>
    <n v="100"/>
    <s v="ENTREGAR PROPUESTA"/>
    <n v="100"/>
    <m/>
    <n v="100"/>
    <m/>
    <x v="3"/>
    <s v="N3|Por cerrar"/>
    <s v="Media"/>
    <s v="venta aceptada"/>
    <s v="Diana Andrea Rodiguez"/>
    <s v="JUNIO"/>
    <m/>
    <d v="2026-06-24T00:00:00"/>
    <d v="2026-06-24T00:00:00"/>
    <s v="Producto Digital - NESTOGENO - CRECIENDO JUNTAS.pptx"/>
    <n v="50686060"/>
  </r>
  <r>
    <x v="4"/>
    <x v="18"/>
    <s v="FALABELLA"/>
    <n v="30000000"/>
    <s v="DESARROLO DE PROPUESTA DIGITAL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m/>
    <m/>
    <m/>
    <x v="0"/>
    <s v="N3|En seguimiento"/>
    <s v="Media"/>
    <m/>
    <s v="Diana Andrea Rodriguez"/>
    <s v="JULIO"/>
    <m/>
    <d v="2026-07-08T00:00:00"/>
    <d v="2026-07-10T00:00:00"/>
    <s v="FALABELLA SHOPPING EXPERIENCE.pptx"/>
    <n v="30000000"/>
  </r>
  <r>
    <x v="4"/>
    <x v="19"/>
    <s v="Autoniza"/>
    <n v="5000000"/>
    <s v="Ecosistema whatsaap"/>
    <m/>
    <m/>
    <s v="Entregar la propuesta digital"/>
    <n v="100"/>
    <s v="Se formaliza el cierre de la venta y se da inicio al proceso de ejecución."/>
    <n v="100"/>
    <m/>
    <m/>
    <m/>
    <x v="2"/>
    <s v="N3|Cerrada"/>
    <s v="Baja"/>
    <m/>
    <s v="Laura Calvera"/>
    <s v="JUNIO"/>
    <m/>
    <d v="2026-06-02T00:00:00"/>
    <d v="2026-06-02T00:00:00"/>
    <s v="21-Producto_Digital_ECOSISTEMA-WHATSAPP.pptx"/>
    <n v="5500000"/>
  </r>
  <r>
    <x v="4"/>
    <x v="20"/>
    <s v="CORONA"/>
    <n v="40000000"/>
    <s v="PROPUESTA DE CÁPSULAS DE VIDEO CON CHECK IN"/>
    <m/>
    <m/>
    <s v="GENERAR PROPUESTA COMERCIAL"/>
    <n v="100"/>
    <s v="Realizar seguimiento a la propuesta para conocer su estado, confirmar si se concretó el cierre e identificar oportunidades de mejora."/>
    <n v="100"/>
    <s v="SIN CAMBIOS"/>
    <n v="100"/>
    <m/>
    <x v="0"/>
    <s v="N3|En seguimiento"/>
    <s v="Baja"/>
    <m/>
    <s v="Diana Rodriguez"/>
    <s v="JUNIO"/>
    <m/>
    <m/>
    <m/>
    <s v="PRODUCTO DIGITAL - CERVEZA CORONA.pptx"/>
    <n v="40000000"/>
  </r>
  <r>
    <x v="4"/>
    <x v="21"/>
    <s v="Rappi"/>
    <n v="0"/>
    <s v="necesitan incrementar su ticket diario"/>
    <m/>
    <m/>
    <s v="GENERAR PROPUESTA COMERCIAL"/>
    <n v="0"/>
    <m/>
    <m/>
    <m/>
    <m/>
    <m/>
    <x v="1"/>
    <s v="N3|Por Mejorar"/>
    <s v="Alta"/>
    <m/>
    <s v="Nicole Hincapie"/>
    <m/>
    <m/>
    <m/>
    <m/>
    <m/>
    <n v="0"/>
  </r>
  <r>
    <x v="4"/>
    <x v="21"/>
    <s v="construtoras planificadas"/>
    <n v="0"/>
    <s v="con que estrategia podriamos dar a conocer más a fondo los proyectos inmobiliarios que tienen"/>
    <m/>
    <m/>
    <s v="GENERAR PROPUESTA COMERCIAL"/>
    <n v="0"/>
    <m/>
    <m/>
    <m/>
    <m/>
    <m/>
    <x v="1"/>
    <s v="N3|Por Mejorar"/>
    <s v="Alta"/>
    <m/>
    <s v="Nicole Hincapie"/>
    <m/>
    <m/>
    <m/>
    <m/>
    <m/>
    <n v="0"/>
  </r>
  <r>
    <x v="4"/>
    <x v="21"/>
    <s v="banco de occidente"/>
    <n v="0"/>
    <s v="llevan mas de un año sin comprar. Cuenta de ahorros que renta, inversion colombianos"/>
    <m/>
    <m/>
    <s v="GENERAR PROPUESTA COMERCIAL"/>
    <n v="0"/>
    <m/>
    <m/>
    <m/>
    <m/>
    <m/>
    <x v="1"/>
    <s v="N3|Por Mejorar"/>
    <s v="Alta"/>
    <m/>
    <s v="Nicole Hincapie"/>
    <m/>
    <m/>
    <m/>
    <m/>
    <m/>
    <n v="0"/>
  </r>
  <r>
    <x v="5"/>
    <x v="22"/>
    <s v="MedPlus"/>
    <n v="0"/>
    <s v="Fortalecer el posicionamiento de la marca aprovechando el aniversario de Clínica Azul."/>
    <m/>
    <m/>
    <s v="GENERAR PROPUESTA COMERCIAL"/>
    <n v="0"/>
    <m/>
    <m/>
    <m/>
    <m/>
    <m/>
    <x v="1"/>
    <s v="N4|Por Mejorar"/>
    <s v="Alta"/>
    <m/>
    <s v="Gina Tinjacá"/>
    <m/>
    <m/>
    <m/>
    <m/>
    <m/>
    <n v="0"/>
  </r>
  <r>
    <x v="5"/>
    <x v="22"/>
    <s v="Win Sports"/>
    <n v="0"/>
    <s v="Aumentar audiencias y suscripciones entre hinchas colombianos en el exterior."/>
    <m/>
    <m/>
    <s v="GENERAR PROPUESTA COMERCIAL"/>
    <n v="0"/>
    <m/>
    <m/>
    <m/>
    <m/>
    <m/>
    <x v="1"/>
    <s v="N4|Por Mejorar"/>
    <s v="Alta"/>
    <m/>
    <s v="Gina Tinjacá"/>
    <m/>
    <m/>
    <m/>
    <m/>
    <m/>
    <n v="0"/>
  </r>
  <r>
    <x v="5"/>
    <x v="23"/>
    <s v="UNAD"/>
    <n v="0"/>
    <s v="Atraer nuevos estudiantes en periodos de inscripción destacando flexibilidad, cobertura y accesibilidad."/>
    <m/>
    <m/>
    <s v="GENERAR PROPUESTA COMERCIAL"/>
    <n v="0"/>
    <m/>
    <m/>
    <m/>
    <m/>
    <m/>
    <x v="1"/>
    <s v="N4|Por Mejorar"/>
    <s v="Alta"/>
    <m/>
    <s v="Karen Perez"/>
    <m/>
    <m/>
    <m/>
    <m/>
    <m/>
    <n v="0"/>
  </r>
  <r>
    <x v="5"/>
    <x v="24"/>
    <s v="GAES"/>
    <n v="0"/>
    <s v="Desarrollar campañas de sensibilización sobre pérdida auditiva y promover soluciones de bienestar e inclusión."/>
    <m/>
    <m/>
    <s v="GENERAR PROPUESTA COMERCIAL"/>
    <n v="0"/>
    <m/>
    <m/>
    <m/>
    <m/>
    <m/>
    <x v="1"/>
    <s v="N4|Por Mejorar"/>
    <s v="Alta"/>
    <m/>
    <s v="Valentina Párraga"/>
    <m/>
    <m/>
    <m/>
    <m/>
    <m/>
    <n v="0"/>
  </r>
  <r>
    <x v="5"/>
    <x v="23"/>
    <s v="Desarrolladora Fontanar"/>
    <n v="0"/>
    <s v="Generar leads calificados para proyectos inmobiliarios."/>
    <m/>
    <m/>
    <s v="GENERAR PROPUESTA COMERCIAL"/>
    <n v="0"/>
    <m/>
    <m/>
    <m/>
    <m/>
    <m/>
    <x v="1"/>
    <s v="N4|Por Mejorar"/>
    <s v="Alta"/>
    <m/>
    <s v="Karen Perez"/>
    <m/>
    <m/>
    <m/>
    <m/>
    <m/>
    <n v="0"/>
  </r>
  <r>
    <x v="5"/>
    <x v="24"/>
    <s v="Boston Medical Group"/>
    <n v="0"/>
    <s v="Fortalecer el posicionamiento mediante contenidos educativos y generación de confianza."/>
    <m/>
    <m/>
    <s v="GENERAR PROPUESTA COMERCIAL"/>
    <n v="0"/>
    <m/>
    <m/>
    <m/>
    <m/>
    <m/>
    <x v="1"/>
    <s v="N4|Por Mejorar"/>
    <s v="Alta"/>
    <m/>
    <s v="Valentina Párraga"/>
    <m/>
    <m/>
    <m/>
    <m/>
    <m/>
    <n v="0"/>
  </r>
  <r>
    <x v="5"/>
    <x v="25"/>
    <s v="Levapan"/>
    <n v="0"/>
    <s v="Incrementar reconocimiento de marca y preferencia entre profesionales y emprendedores del sector alimentario."/>
    <m/>
    <m/>
    <s v="GENERAR PROPUESTA COMERCIAL"/>
    <n v="0"/>
    <m/>
    <m/>
    <m/>
    <m/>
    <m/>
    <x v="1"/>
    <s v="N4|Por Mejorar"/>
    <s v="Alta"/>
    <m/>
    <s v="Mauricio Agudelo"/>
    <m/>
    <m/>
    <m/>
    <m/>
    <m/>
    <n v="0"/>
  </r>
  <r>
    <x v="5"/>
    <x v="25"/>
    <s v="Fundación Cardio Infantil"/>
    <n v="0"/>
    <s v="Fortalecer el posicionamiento institucional y visibilizar su impacto social."/>
    <m/>
    <m/>
    <s v="GENERAR PROPUESTA COMERCIAL"/>
    <n v="0"/>
    <m/>
    <m/>
    <m/>
    <m/>
    <m/>
    <x v="1"/>
    <s v="N4|Por Mejorar"/>
    <s v="Alta"/>
    <m/>
    <s v="Mauricio Agudelo"/>
    <m/>
    <m/>
    <m/>
    <m/>
    <m/>
    <n v="0"/>
  </r>
  <r>
    <x v="5"/>
    <x v="22"/>
    <s v="Urbansa"/>
    <n v="0"/>
    <s v="Generar clientes potenciales para proyectos de vivienda VIS y No VIS."/>
    <m/>
    <m/>
    <s v="GENERAR PROPUESTA COMERCIAL"/>
    <n v="0"/>
    <m/>
    <m/>
    <m/>
    <m/>
    <m/>
    <x v="1"/>
    <s v="N4|Por Mejorar"/>
    <s v="Alta"/>
    <m/>
    <s v="Gina Tinjacá"/>
    <m/>
    <m/>
    <m/>
    <m/>
    <m/>
    <n v="0"/>
  </r>
  <r>
    <x v="5"/>
    <x v="24"/>
    <s v="Mastercard"/>
    <n v="0"/>
    <s v="Impulsar la adopción de medios de pago digitales, educación financiera e inclusión digital."/>
    <m/>
    <m/>
    <s v="GENERAR PROPUESTA COMERCIAL"/>
    <n v="0"/>
    <m/>
    <m/>
    <m/>
    <m/>
    <m/>
    <x v="1"/>
    <s v="N4|Por Mejorar"/>
    <s v="Alta"/>
    <m/>
    <s v="Valentina Párraga"/>
    <m/>
    <m/>
    <m/>
    <m/>
    <m/>
    <n v="0"/>
  </r>
  <r>
    <x v="5"/>
    <x v="26"/>
    <s v="SR SIMI"/>
    <n v="100000000"/>
    <s v="PROPUESTA FRANQUICIA - EL ALBÚM"/>
    <m/>
    <m/>
    <s v="GENERAR PROPUESTA COMERCIAL"/>
    <n v="100"/>
    <s v="ENTREGAR PROPUESTA"/>
    <n v="100"/>
    <s v="SIN CAMBIOS"/>
    <n v="100"/>
    <m/>
    <x v="2"/>
    <s v="N4|Cerrada"/>
    <s v="Media"/>
    <m/>
    <s v="Luis López"/>
    <s v="JUNIO"/>
    <m/>
    <d v="2026-06-16T00:00:00"/>
    <d v="2026-07-10T00:00:00"/>
    <s v="https://canva.link/7gihh7hu1w85rtl"/>
    <n v="100000000"/>
  </r>
  <r>
    <x v="5"/>
    <x v="22"/>
    <s v="ALCIAUTOS"/>
    <n v="0"/>
    <m/>
    <m/>
    <m/>
    <s v="GENERAR PROPUESTA COMERCIAL"/>
    <m/>
    <m/>
    <m/>
    <m/>
    <m/>
    <m/>
    <x v="1"/>
    <s v="N4|Por Mejorar"/>
    <s v="Alta"/>
    <m/>
    <s v="Gina Tinjacá"/>
    <m/>
    <m/>
    <m/>
    <m/>
    <m/>
    <n v="0"/>
  </r>
  <r>
    <x v="5"/>
    <x v="22"/>
    <s v="ALLIANZ SEGUROS"/>
    <n v="0"/>
    <m/>
    <m/>
    <m/>
    <s v="GENERAR PROPUESTA COMERCIAL"/>
    <m/>
    <m/>
    <m/>
    <m/>
    <m/>
    <m/>
    <x v="1"/>
    <s v="N4|Por Mejorar"/>
    <s v="Alta"/>
    <m/>
    <s v="Gina Tinjacá"/>
    <m/>
    <m/>
    <m/>
    <m/>
    <m/>
    <n v="0"/>
  </r>
  <r>
    <x v="5"/>
    <x v="22"/>
    <s v="AUTOGERMANA"/>
    <n v="0"/>
    <m/>
    <m/>
    <m/>
    <s v="GENERAR PROPUESTA COMERCIAL"/>
    <m/>
    <m/>
    <m/>
    <m/>
    <m/>
    <m/>
    <x v="1"/>
    <s v="N4|Por Mejorar"/>
    <s v="Alta"/>
    <m/>
    <s v="Gina Tinjacá"/>
    <m/>
    <m/>
    <m/>
    <m/>
    <m/>
    <n v="0"/>
  </r>
  <r>
    <x v="5"/>
    <x v="22"/>
    <s v="BBVA"/>
    <n v="0"/>
    <m/>
    <m/>
    <m/>
    <s v="GENERAR PROPUESTA COMERCIAL"/>
    <m/>
    <m/>
    <m/>
    <m/>
    <m/>
    <m/>
    <x v="1"/>
    <s v="N4|Por Mejorar"/>
    <s v="Alta"/>
    <m/>
    <s v="Gina Tinjacá"/>
    <m/>
    <m/>
    <m/>
    <m/>
    <m/>
    <n v="0"/>
  </r>
  <r>
    <x v="5"/>
    <x v="22"/>
    <s v="BAT - BRITSH AMERICAN TOBACCO"/>
    <n v="0"/>
    <m/>
    <m/>
    <m/>
    <s v="GENERAR PROPUESTA COMERCIAL"/>
    <m/>
    <m/>
    <m/>
    <m/>
    <m/>
    <m/>
    <x v="1"/>
    <s v="N4|Por Mejorar"/>
    <s v="Alta"/>
    <m/>
    <s v="Gina Tinjacá"/>
    <m/>
    <m/>
    <m/>
    <m/>
    <m/>
    <n v="0"/>
  </r>
  <r>
    <x v="5"/>
    <x v="22"/>
    <s v="BROWN FORMAN"/>
    <n v="0"/>
    <m/>
    <m/>
    <m/>
    <s v="GENERAR PROPUESTA COMERCIAL"/>
    <m/>
    <m/>
    <m/>
    <m/>
    <m/>
    <m/>
    <x v="1"/>
    <s v="N4|Por Mejorar"/>
    <s v="Alta"/>
    <m/>
    <s v="Gina Tinjacá"/>
    <m/>
    <m/>
    <m/>
    <m/>
    <m/>
    <n v="0"/>
  </r>
  <r>
    <x v="5"/>
    <x v="22"/>
    <s v="CASTROL"/>
    <n v="0"/>
    <m/>
    <m/>
    <m/>
    <s v="GENERAR PROPUESTA COMERCIAL"/>
    <m/>
    <m/>
    <m/>
    <m/>
    <m/>
    <m/>
    <x v="1"/>
    <s v="N4|Por Mejorar"/>
    <s v="Alta"/>
    <m/>
    <s v="Gina Tinjacá"/>
    <m/>
    <m/>
    <m/>
    <m/>
    <m/>
    <n v="0"/>
  </r>
  <r>
    <x v="5"/>
    <x v="22"/>
    <s v="CODERE COLOMBIA"/>
    <n v="0"/>
    <m/>
    <m/>
    <m/>
    <s v="GENERAR PROPUESTA COMERCIAL"/>
    <m/>
    <m/>
    <m/>
    <m/>
    <m/>
    <m/>
    <x v="1"/>
    <s v="N4|Por Mejorar"/>
    <s v="Alta"/>
    <m/>
    <s v="Gina Tinjacá"/>
    <m/>
    <m/>
    <m/>
    <m/>
    <m/>
    <n v="0"/>
  </r>
  <r>
    <x v="5"/>
    <x v="22"/>
    <s v="COLCAN - VITALEA LAB"/>
    <n v="0"/>
    <m/>
    <m/>
    <m/>
    <s v="GENERAR PROPUESTA COMERCIAL"/>
    <m/>
    <m/>
    <m/>
    <m/>
    <m/>
    <m/>
    <x v="1"/>
    <s v="N4|Por Mejorar"/>
    <s v="Alta"/>
    <m/>
    <s v="Gina Tinjacá"/>
    <m/>
    <m/>
    <m/>
    <m/>
    <m/>
    <n v="0"/>
  </r>
  <r>
    <x v="5"/>
    <x v="22"/>
    <s v="COVINOC"/>
    <n v="0"/>
    <m/>
    <m/>
    <m/>
    <s v="GENERAR PROPUESTA COMERCIAL"/>
    <m/>
    <m/>
    <m/>
    <m/>
    <m/>
    <m/>
    <x v="1"/>
    <s v="N4|Por Mejorar"/>
    <s v="Alta"/>
    <m/>
    <s v="Gina Tinjacá"/>
    <m/>
    <m/>
    <m/>
    <m/>
    <m/>
    <n v="0"/>
  </r>
  <r>
    <x v="5"/>
    <x v="22"/>
    <s v="COVO"/>
    <n v="0"/>
    <m/>
    <m/>
    <m/>
    <s v="GENERAR PROPUESTA COMERCIAL"/>
    <m/>
    <m/>
    <m/>
    <m/>
    <m/>
    <m/>
    <x v="1"/>
    <s v="N4|Por Mejorar"/>
    <s v="Alta"/>
    <m/>
    <s v="Gina Tinjacá"/>
    <m/>
    <m/>
    <m/>
    <m/>
    <m/>
    <n v="0"/>
  </r>
  <r>
    <x v="5"/>
    <x v="22"/>
    <s v="EGALITE"/>
    <n v="0"/>
    <m/>
    <m/>
    <m/>
    <s v="GENERAR PROPUESTA COMERCIAL"/>
    <m/>
    <m/>
    <m/>
    <m/>
    <m/>
    <m/>
    <x v="1"/>
    <s v="N4|Por Mejorar"/>
    <s v="Alta"/>
    <m/>
    <s v="Gina Tinjacá"/>
    <m/>
    <m/>
    <m/>
    <m/>
    <m/>
    <n v="0"/>
  </r>
  <r>
    <x v="5"/>
    <x v="22"/>
    <s v="FORD"/>
    <n v="0"/>
    <m/>
    <m/>
    <m/>
    <s v="GENERAR PROPUESTA COMERCIAL"/>
    <m/>
    <m/>
    <m/>
    <m/>
    <m/>
    <m/>
    <x v="1"/>
    <s v="N4|Por Mejorar"/>
    <s v="Alta"/>
    <m/>
    <s v="Gina Tinjacá"/>
    <m/>
    <m/>
    <m/>
    <m/>
    <m/>
    <n v="0"/>
  </r>
  <r>
    <x v="5"/>
    <x v="22"/>
    <s v="GENCELL"/>
    <n v="0"/>
    <m/>
    <m/>
    <m/>
    <s v="GENERAR PROPUESTA COMERCIAL"/>
    <m/>
    <m/>
    <m/>
    <m/>
    <m/>
    <m/>
    <x v="1"/>
    <s v="N4|Por Mejorar"/>
    <s v="Alta"/>
    <m/>
    <s v="Gina Tinjacá"/>
    <m/>
    <m/>
    <m/>
    <m/>
    <m/>
    <n v="0"/>
  </r>
  <r>
    <x v="5"/>
    <x v="22"/>
    <s v="ISHOP"/>
    <n v="0"/>
    <m/>
    <m/>
    <m/>
    <s v="GENERAR PROPUESTA COMERCIAL"/>
    <m/>
    <m/>
    <m/>
    <m/>
    <m/>
    <m/>
    <x v="1"/>
    <s v="N4|Por Mejorar"/>
    <s v="Alta"/>
    <m/>
    <s v="Gina Tinjacá"/>
    <m/>
    <m/>
    <m/>
    <m/>
    <m/>
    <n v="0"/>
  </r>
  <r>
    <x v="5"/>
    <x v="22"/>
    <s v="KFC - INVERSIONES INT COLOMBIA"/>
    <n v="0"/>
    <m/>
    <m/>
    <m/>
    <s v="GENERAR PROPUESTA COMERCIAL"/>
    <m/>
    <m/>
    <m/>
    <m/>
    <m/>
    <m/>
    <x v="1"/>
    <s v="N4|Por Mejorar"/>
    <s v="Alta"/>
    <m/>
    <s v="Gina Tinjacá"/>
    <m/>
    <m/>
    <m/>
    <m/>
    <m/>
    <n v="0"/>
  </r>
  <r>
    <x v="5"/>
    <x v="22"/>
    <s v="MAZDA"/>
    <n v="0"/>
    <m/>
    <m/>
    <m/>
    <s v="GENERAR PROPUESTA COMERCIAL"/>
    <m/>
    <m/>
    <m/>
    <m/>
    <m/>
    <m/>
    <x v="1"/>
    <s v="N4|Por Mejorar"/>
    <s v="Alta"/>
    <m/>
    <s v="Gina Tinjacá"/>
    <m/>
    <m/>
    <m/>
    <m/>
    <m/>
    <n v="0"/>
  </r>
  <r>
    <x v="5"/>
    <x v="22"/>
    <s v="MEDPLUS"/>
    <n v="0"/>
    <m/>
    <m/>
    <m/>
    <s v="GENERAR PROPUESTA COMERCIAL"/>
    <m/>
    <m/>
    <m/>
    <m/>
    <m/>
    <m/>
    <x v="1"/>
    <s v="N4|Por Mejorar"/>
    <s v="Alta"/>
    <m/>
    <s v="Gina Tinjacá"/>
    <m/>
    <m/>
    <m/>
    <m/>
    <m/>
    <n v="0"/>
  </r>
  <r>
    <x v="5"/>
    <x v="22"/>
    <s v="PASH - OSTU"/>
    <n v="0"/>
    <m/>
    <m/>
    <m/>
    <s v="GENERAR PROPUESTA COMERCIAL"/>
    <m/>
    <m/>
    <m/>
    <m/>
    <m/>
    <m/>
    <x v="1"/>
    <s v="N4|Por Mejorar"/>
    <s v="Alta"/>
    <m/>
    <s v="Gina Tinjacá"/>
    <m/>
    <m/>
    <m/>
    <m/>
    <m/>
    <n v="0"/>
  </r>
  <r>
    <x v="5"/>
    <x v="22"/>
    <s v="PAVCO"/>
    <n v="0"/>
    <m/>
    <m/>
    <m/>
    <s v="GENERAR PROPUESTA COMERCIAL"/>
    <m/>
    <m/>
    <m/>
    <m/>
    <m/>
    <m/>
    <x v="1"/>
    <s v="N4|Por Mejorar"/>
    <s v="Alta"/>
    <m/>
    <s v="Gina Tinjacá"/>
    <m/>
    <m/>
    <m/>
    <m/>
    <m/>
    <n v="0"/>
  </r>
  <r>
    <x v="5"/>
    <x v="22"/>
    <s v="PAX ASSISTANCE"/>
    <n v="0"/>
    <m/>
    <m/>
    <m/>
    <s v="GENERAR PROPUESTA COMERCIAL"/>
    <m/>
    <m/>
    <m/>
    <m/>
    <m/>
    <m/>
    <x v="1"/>
    <s v="N4|Por Mejorar"/>
    <s v="Alta"/>
    <m/>
    <s v="Gina Tinjacá"/>
    <m/>
    <m/>
    <m/>
    <m/>
    <m/>
    <n v="0"/>
  </r>
  <r>
    <x v="5"/>
    <x v="22"/>
    <s v="SC JOHNSON"/>
    <n v="0"/>
    <m/>
    <m/>
    <m/>
    <s v="GENERAR PROPUESTA COMERCIAL"/>
    <m/>
    <m/>
    <m/>
    <m/>
    <m/>
    <m/>
    <x v="1"/>
    <s v="N4|Por Mejorar"/>
    <s v="Alta"/>
    <m/>
    <s v="Gina Tinjacá"/>
    <m/>
    <m/>
    <m/>
    <m/>
    <m/>
    <n v="0"/>
  </r>
  <r>
    <x v="5"/>
    <x v="22"/>
    <s v="SIKA"/>
    <n v="0"/>
    <m/>
    <m/>
    <m/>
    <s v="GENERAR PROPUESTA COMERCIAL"/>
    <m/>
    <m/>
    <m/>
    <m/>
    <m/>
    <m/>
    <x v="1"/>
    <s v="N4|Por Mejorar"/>
    <s v="Alta"/>
    <m/>
    <s v="Gina Tinjacá"/>
    <m/>
    <m/>
    <m/>
    <m/>
    <m/>
    <n v="0"/>
  </r>
  <r>
    <x v="5"/>
    <x v="22"/>
    <s v="UIP"/>
    <n v="0"/>
    <m/>
    <m/>
    <m/>
    <s v="GENERAR PROPUESTA COMERCIAL"/>
    <m/>
    <m/>
    <m/>
    <m/>
    <m/>
    <m/>
    <x v="1"/>
    <s v="N4|Por Mejorar"/>
    <s v="Alta"/>
    <m/>
    <s v="Gina Tinjacá"/>
    <m/>
    <m/>
    <m/>
    <m/>
    <m/>
    <n v="0"/>
  </r>
  <r>
    <x v="5"/>
    <x v="23"/>
    <s v="GAC"/>
    <n v="15000000"/>
    <s v="DESARROLO DE PROPUESTA DIGITAL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s v="La propuesta fue aprobada por el cliente. Actualmente nos encontramos a la espera de su ejecución."/>
    <n v="100"/>
    <m/>
    <x v="2"/>
    <s v="N4|Cerrada"/>
    <s v="Media"/>
    <m/>
    <s v="Karen Perez"/>
    <s v="JULIO"/>
    <m/>
    <d v="2026-07-07T00:00:00"/>
    <d v="2026-07-07T00:00:00"/>
    <s v="Producto_Digital-CONDUCE EL FUTURO- GAC.pptx"/>
    <n v="15577700"/>
  </r>
  <r>
    <x v="5"/>
    <x v="23"/>
    <s v="Valvoline"/>
    <n v="8000000"/>
    <s v="La marca mostró interés en la franquicia Muchas Pelotas."/>
    <m/>
    <m/>
    <s v="Entregar la propuesta digital y su valorización al ejecutivo correspondiente."/>
    <n v="100"/>
    <s v="Se concreta el cierre de la venta."/>
    <n v="100"/>
    <m/>
    <m/>
    <m/>
    <x v="2"/>
    <s v="N4|Cerrada"/>
    <s v="Media"/>
    <m/>
    <s v="Karen Perez"/>
    <s v="JUNIO"/>
    <m/>
    <d v="2026-06-27T00:00:00"/>
    <d v="2026-06-27T00:00:00"/>
    <s v="FRANQUICIAS PRISA.pptx"/>
    <n v="8000000"/>
  </r>
  <r>
    <x v="5"/>
    <x v="23"/>
    <s v="Flamingo"/>
    <n v="30000000"/>
    <s v="PROPUESTA PARA ANIVERSARIO"/>
    <m/>
    <m/>
    <s v="PROPUESTA GENERADA Y ENVIADA AL EJECUTIVO"/>
    <n v="100"/>
    <s v="SEGUIMIENTO"/>
    <n v="50"/>
    <m/>
    <m/>
    <m/>
    <x v="0"/>
    <s v="N4|En seguimiento"/>
    <s v="Media"/>
    <m/>
    <s v="Karen Perez"/>
    <s v="JULIO"/>
    <m/>
    <d v="2026-07-14T00:00:00"/>
    <d v="2026-07-14T00:00:00"/>
    <s v="https://grupoprisa-my.sharepoint.com/:p:/g/personal/juangodoy_est_caracol_com_co/IQCTvV2t-eLWQq2L9mflqXwPAfE1ADF1gSilO6Wk8SmQ5eY?CID=ad890f88-4ed8-9a0d-3c25-51ff00ffeb03&amp;SI=SentItems&amp;SLSync=F"/>
    <n v="27980000"/>
  </r>
  <r>
    <x v="5"/>
    <x v="23"/>
    <s v="universidad de cataluña"/>
    <n v="15000000"/>
    <s v="DESARROLO DE PROPUESTA DIGITAL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50"/>
    <m/>
    <m/>
    <m/>
    <x v="0"/>
    <s v="N4|En seguimiento"/>
    <s v="Media"/>
    <m/>
    <s v="Karen Perez"/>
    <s v="JULIO"/>
    <m/>
    <d v="2026-07-14T00:00:00"/>
    <d v="2026-07-15T00:00:00"/>
    <s v="PROPUESTA UNIVERSIDAD DE CATALUÑA.pptx"/>
    <n v="10300000"/>
  </r>
  <r>
    <x v="6"/>
    <x v="27"/>
    <s v="Haleon"/>
    <n v="45700000"/>
    <s v="Desarrollar una propuesta altamente diferencial e innovadora que responda a sus altos estándares de aprobación y logre reactivar inversión frente a la participación activa que mantienen en otros medios."/>
    <m/>
    <m/>
    <s v="GENERAR PROPUESTA COMERCIAL"/>
    <n v="100"/>
    <s v="Realizar seguimiento a la propuesta para conocer su estado, confirmar si se concretó el cierre e identificar oportunidades de mejora."/>
    <n v="100"/>
    <m/>
    <n v="0"/>
    <m/>
    <x v="0"/>
    <s v="N5|En seguimiento"/>
    <s v="Alta"/>
    <m/>
    <s v="Luz Hernandez"/>
    <s v="JUNIO"/>
    <m/>
    <d v="2026-06-30T00:00:00"/>
    <d v="2026-06-30T00:00:00"/>
    <s v="PROPUESTA HALEON.pptx"/>
    <n v="24664200"/>
  </r>
  <r>
    <x v="6"/>
    <x v="27"/>
    <s v="Lactalis"/>
    <n v="8000000"/>
    <s v="Mantener seguimiento estratégico de la cuenta y monitorear oportunidades futuras mientras persisten restricciones regulatorias que limitan la reactivación en el corto plazo. TIENE UN PROBLEMA CON INVIMA "/>
    <m/>
    <m/>
    <s v="GENERAR PROPUESTA COMERCIAL"/>
    <n v="0"/>
    <m/>
    <n v="0"/>
    <m/>
    <n v="0"/>
    <m/>
    <x v="1"/>
    <s v="N5|Por Mejorar"/>
    <s v="Alta"/>
    <m/>
    <s v="Luz Karime Hernandez"/>
    <m/>
    <m/>
    <m/>
    <m/>
    <m/>
    <n v="0"/>
  </r>
  <r>
    <x v="6"/>
    <x v="28"/>
    <s v="Sector Universitario"/>
    <n v="4000000"/>
    <s v="Construir estrategias de comunicación de largo plazo que permitan presencia continua durante el año y reduzcan la dependencia de campañas estacionales de matrícula."/>
    <m/>
    <m/>
    <s v="GENERAR PROPUESTA COMERCIAL"/>
    <n v="0"/>
    <m/>
    <n v="0"/>
    <m/>
    <n v="0"/>
    <m/>
    <x v="1"/>
    <s v="N5|Por Mejorar"/>
    <s v="Alta"/>
    <m/>
    <s v="Ana Maria Castañeda"/>
    <m/>
    <m/>
    <m/>
    <m/>
    <m/>
    <n v="0"/>
  </r>
  <r>
    <x v="6"/>
    <x v="28"/>
    <s v="AR Construcciones"/>
    <n v="0"/>
    <s v="Demostrar el valor de las plataformas de PRISA más allá de la radio tradicional, conectando soluciones comerciales con sus objetivos de negocio y generación de resultados."/>
    <m/>
    <m/>
    <s v="GENERAR PROPUESTA COMERCIAL"/>
    <n v="0"/>
    <m/>
    <n v="0"/>
    <m/>
    <n v="0"/>
    <m/>
    <x v="1"/>
    <s v="N5|Por Mejorar"/>
    <s v="Alta"/>
    <m/>
    <s v="Ana Maria Castañeda"/>
    <m/>
    <m/>
    <m/>
    <m/>
    <m/>
    <n v="0"/>
  </r>
  <r>
    <x v="6"/>
    <x v="28"/>
    <s v="Constructora Galias"/>
    <n v="0"/>
    <s v="Presentar propuestas innovadoras y diferenciadas que incentiven el retorno de inversión y reactiven la relación comercial."/>
    <m/>
    <m/>
    <s v="GENERAR PROPUESTA COMERCIAL"/>
    <n v="0"/>
    <m/>
    <n v="0"/>
    <m/>
    <n v="0"/>
    <m/>
    <x v="1"/>
    <s v="N5|Por Mejorar"/>
    <s v="Alta"/>
    <m/>
    <s v="Ana Maria Castañeda"/>
    <m/>
    <m/>
    <m/>
    <m/>
    <m/>
    <n v="0"/>
  </r>
  <r>
    <x v="6"/>
    <x v="28"/>
    <s v="Cromantic y Aruma"/>
    <n v="0"/>
    <s v="Diseñar iniciativas creativas que complementen sus estrategias digitales actuales y aumenten la participación de inversión en nuestros medios."/>
    <m/>
    <m/>
    <s v="GENERAR PROPUESTA COMERCIAL"/>
    <n v="0"/>
    <m/>
    <n v="0"/>
    <m/>
    <n v="0"/>
    <m/>
    <x v="1"/>
    <s v="N5|Por Mejorar"/>
    <s v="Alta"/>
    <m/>
    <s v="Ana Maria Castañeda"/>
    <m/>
    <m/>
    <m/>
    <m/>
    <m/>
    <n v="0"/>
  </r>
  <r>
    <x v="6"/>
    <x v="29"/>
    <s v="Cusezar"/>
    <n v="0"/>
    <s v="Desarrollar la cuenta mediante propuestas diferenciadoras que fortalezcan la relación y generen crecimiento sostenido de inversión."/>
    <m/>
    <m/>
    <s v="GENERAR PROPUESTA COMERCIAL"/>
    <n v="0"/>
    <m/>
    <n v="0"/>
    <m/>
    <n v="0"/>
    <m/>
    <x v="1"/>
    <s v="N5|Por Mejorar"/>
    <s v="Alta"/>
    <m/>
    <s v="Carol Beltan"/>
    <m/>
    <m/>
    <m/>
    <m/>
    <m/>
    <n v="0"/>
  </r>
  <r>
    <x v="6"/>
    <x v="29"/>
    <s v="Cemex"/>
    <n v="0"/>
    <s v="Construir relacionamiento comercial y generar oportunidades desde una etapa temprana de exploración para consolidar futuras inversiones."/>
    <m/>
    <m/>
    <s v="GENERAR PROPUESTA COMERCIAL"/>
    <n v="0"/>
    <m/>
    <n v="0"/>
    <m/>
    <n v="0"/>
    <m/>
    <x v="1"/>
    <s v="N5|Por Mejorar"/>
    <s v="Alta"/>
    <m/>
    <s v="Carol Beltan"/>
    <m/>
    <m/>
    <m/>
    <m/>
    <m/>
    <n v="0"/>
  </r>
  <r>
    <x v="6"/>
    <x v="29"/>
    <s v="Distrito Salvaje"/>
    <n v="0"/>
    <s v="Impulsar el desarrollo de la cuenta mediante acciones de valor que fortalezcan el posicionamiento de marca y generen nuevas oportunidades comerciales. NO TIENEN CONTACTO CON EL GERENTE"/>
    <m/>
    <m/>
    <s v="GENERAR PROPUESTA COMERCIAL"/>
    <n v="0"/>
    <m/>
    <n v="0"/>
    <m/>
    <n v="0"/>
    <m/>
    <x v="1"/>
    <s v="N5|Por Mejorar"/>
    <s v="Alta"/>
    <m/>
    <s v="Carol Beltan"/>
    <m/>
    <m/>
    <m/>
    <m/>
    <m/>
    <n v="0"/>
  </r>
  <r>
    <x v="6"/>
    <x v="30"/>
    <s v="Viajes Falabella"/>
    <n v="0"/>
    <s v="Desarrollar estrategias enfocadas y alineadas con objetivos de negocio para incrementar progresivamente su nivel de inversión."/>
    <m/>
    <m/>
    <s v="GENERAR PROPUESTA COMERCIAL"/>
    <n v="0"/>
    <m/>
    <n v="0"/>
    <m/>
    <n v="0"/>
    <m/>
    <x v="1"/>
    <s v="N5|Por Mejorar"/>
    <s v="Alta"/>
    <m/>
    <s v="Raul Herrera"/>
    <m/>
    <m/>
    <m/>
    <m/>
    <m/>
    <n v="0"/>
  </r>
  <r>
    <x v="6"/>
    <x v="30"/>
    <s v="Movistar"/>
    <n v="0"/>
    <s v="Identificar alternativas comerciales que compensen la reducción de inversión derivada del proceso de integración con Tigo y sostener participación en la categoría."/>
    <m/>
    <m/>
    <s v="GENERAR PROPUESTA COMERCIAL"/>
    <n v="0"/>
    <m/>
    <n v="0"/>
    <m/>
    <n v="0"/>
    <m/>
    <x v="1"/>
    <s v="N5|Por Mejorar"/>
    <s v="Alta"/>
    <m/>
    <s v="Raul Herrera"/>
    <m/>
    <m/>
    <m/>
    <m/>
    <m/>
    <n v="0"/>
  </r>
  <r>
    <x v="6"/>
    <x v="29"/>
    <s v="TA•DA"/>
    <n v="50000000"/>
    <s v="PROPUESTA DIGITAL - DINAMICA DE SUBASTA"/>
    <m/>
    <m/>
    <s v="GENERAR PROPUESTA COMERCIAL"/>
    <n v="100"/>
    <s v="Realizar seguimiento a la propuesta para conocer su estado, confirmar si se concretó el cierre e identificar oportunidades de mejora."/>
    <n v="100"/>
    <s v="SIN CAMBIOS "/>
    <n v="100"/>
    <m/>
    <x v="0"/>
    <s v="N5|En seguimiento"/>
    <s v="Baja"/>
    <m/>
    <s v="Carol Beltan"/>
    <s v="JUNIO"/>
    <m/>
    <d v="2026-06-01T00:00:00"/>
    <d v="2026-06-01T00:00:00"/>
    <s v="PRODUCTO DIGITAL - TA•DA.pptx"/>
    <n v="60000000"/>
  </r>
  <r>
    <x v="6"/>
    <x v="29"/>
    <s v="BAVARIA"/>
    <n v="20000000"/>
    <s v="PROPUESTA DIGITAL LA RUTA DEL GOL"/>
    <m/>
    <m/>
    <s v="GENERAR PROPUESTA COMERCIAL"/>
    <n v="100"/>
    <s v="Realizar seguimiento a la propuesta para conocer su estado, confirmar si se concretó el cierre e identificar oportunidades de mejora."/>
    <n v="100"/>
    <s v="SIN CAMBIOS"/>
    <n v="100"/>
    <m/>
    <x v="2"/>
    <s v="N5|Cerrada"/>
    <s v="Baja"/>
    <m/>
    <s v="Carol Beltan"/>
    <s v="JUNIO"/>
    <m/>
    <d v="2026-06-09T00:00:00"/>
    <d v="2026-06-09T00:00:00"/>
    <m/>
    <n v="18000000"/>
  </r>
  <r>
    <x v="6"/>
    <x v="29"/>
    <s v="AMALFITANA"/>
    <n v="40000000"/>
    <s v="PROPUESTA DUGITAL CON DOS PUNTOS "/>
    <m/>
    <m/>
    <s v="GENERAR PROPUESTA COMERCIAL"/>
    <n v="100"/>
    <s v="Realizar seguimiento a la propuesta para conocer su estado, confirmar si se concretó el cierre e identificar oportunidades de mejora."/>
    <n v="100"/>
    <s v="SIN CAMBIOS"/>
    <n v="100"/>
    <m/>
    <x v="0"/>
    <s v="N5|En seguimiento"/>
    <s v="Media"/>
    <m/>
    <s v="Carol Beltran"/>
    <s v="JUNIO"/>
    <m/>
    <d v="2026-06-26T00:00:00"/>
    <d v="2026-06-22T00:00:00"/>
    <s v="PRODUCTO DIGITAL - AMALFITANA.pptx"/>
    <n v="45000000"/>
  </r>
  <r>
    <x v="6"/>
    <x v="29"/>
    <s v="coca-cola"/>
    <n v="0"/>
    <m/>
    <m/>
    <m/>
    <s v="GENERAR PROPUESTA COMERCIAL"/>
    <n v="0"/>
    <m/>
    <m/>
    <m/>
    <m/>
    <m/>
    <x v="1"/>
    <s v="N5|Por Mejorar"/>
    <s v="Alta"/>
    <m/>
    <s v="Carol Beltan"/>
    <m/>
    <m/>
    <m/>
    <m/>
    <m/>
    <n v="0"/>
  </r>
  <r>
    <x v="6"/>
    <x v="30"/>
    <s v="movistar"/>
    <n v="0"/>
    <m/>
    <m/>
    <m/>
    <s v="GENERAR PROPUESTA COMERCIAL"/>
    <n v="0"/>
    <m/>
    <m/>
    <m/>
    <m/>
    <m/>
    <x v="1"/>
    <s v="N5|Por Mejorar"/>
    <s v="Alta"/>
    <m/>
    <s v="Raul Herrera"/>
    <m/>
    <m/>
    <m/>
    <m/>
    <m/>
    <n v="0"/>
  </r>
  <r>
    <x v="6"/>
    <x v="28"/>
    <s v="decathlon"/>
    <n v="0"/>
    <m/>
    <m/>
    <m/>
    <s v="GENERAR PROPUESTA COMERCIAL"/>
    <n v="0"/>
    <m/>
    <m/>
    <m/>
    <m/>
    <m/>
    <x v="1"/>
    <s v="N5|Por Mejorar"/>
    <s v="Alta"/>
    <m/>
    <s v="Ana Maria Castañeda"/>
    <m/>
    <m/>
    <m/>
    <m/>
    <m/>
    <n v="0"/>
  </r>
  <r>
    <x v="6"/>
    <x v="30"/>
    <s v="compensar"/>
    <n v="0"/>
    <m/>
    <m/>
    <m/>
    <s v="GENERAR PROPUESTA COMERCIAL"/>
    <n v="0"/>
    <m/>
    <m/>
    <m/>
    <m/>
    <m/>
    <x v="1"/>
    <s v="N5|Por Mejorar"/>
    <s v="Alta"/>
    <m/>
    <s v="Raul Herrera"/>
    <m/>
    <m/>
    <m/>
    <m/>
    <m/>
    <n v="0"/>
  </r>
  <r>
    <x v="6"/>
    <x v="30"/>
    <s v="Despegar"/>
    <n v="35000000"/>
    <s v="DESARROLO DE PROPUESTA DIGITAL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m/>
    <m/>
    <m/>
    <x v="0"/>
    <s v="N5|En seguimiento"/>
    <s v="Media"/>
    <m/>
    <s v="Raul Herrera"/>
    <s v="JULIO"/>
    <m/>
    <d v="2026-07-03T00:00:00"/>
    <d v="2026-07-03T00:00:00"/>
    <s v="PROPUESTA DESPEGAR.pptx"/>
    <n v="39000000"/>
  </r>
  <r>
    <x v="6"/>
    <x v="29"/>
    <s v="BAN 100 "/>
    <n v="8000000"/>
    <s v="DESARROLO DE PROPUESTA DIGITAL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m/>
    <m/>
    <m/>
    <x v="0"/>
    <s v="N5|En seguimiento"/>
    <s v="Media"/>
    <m/>
    <s v="Carol Beltan"/>
    <s v="JULIO"/>
    <m/>
    <d v="2026-07-07T00:00:00"/>
    <d v="2026-07-07T00:00:00"/>
    <s v="PROPUESTA BAN100.pptx"/>
    <n v="8500000"/>
  </r>
  <r>
    <x v="6"/>
    <x v="29"/>
    <s v="Cerveza Tributo"/>
    <n v="40000000"/>
    <s v="PROPUESTA  DIGITAL 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50"/>
    <m/>
    <m/>
    <m/>
    <x v="0"/>
    <s v="N5|En seguimiento"/>
    <s v="Media"/>
    <m/>
    <s v="Carol Beltan"/>
    <s v="JULIO"/>
    <m/>
    <d v="2026-07-10T00:00:00"/>
    <d v="2026-07-15T00:00:00"/>
    <s v="Producto_Digital-TRIBUTO.pptx"/>
    <n v="45000000"/>
  </r>
  <r>
    <x v="6"/>
    <x v="27"/>
    <s v="HP"/>
    <n v="48000000"/>
    <s v="DESARROLO DE PROPUESTA DIGITAL CON FRANQUICIA TECNOLOGIA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50"/>
    <m/>
    <m/>
    <m/>
    <x v="3"/>
    <s v="N5|Por cerrar"/>
    <s v="Media"/>
    <m/>
    <s v="Luz Karime Hernandez"/>
    <s v="JULIO"/>
    <m/>
    <d v="2026-07-17T00:00:00"/>
    <d v="2026-07-17T00:00:00"/>
    <s v="PROPUESTA HP.pptx"/>
    <n v="48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73A63B-AEDF-4008-9769-2C5D8F71770B}" name="TablaDinámica3" cacheId="52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H6:J52" firstHeaderRow="0" firstDataRow="1" firstDataCol="1"/>
  <pivotFields count="25">
    <pivotField axis="axisRow" showAll="0">
      <items count="9">
        <item x="0"/>
        <item m="1" x="7"/>
        <item x="2"/>
        <item x="3"/>
        <item x="4"/>
        <item x="5"/>
        <item x="6"/>
        <item x="1"/>
        <item t="default"/>
      </items>
    </pivotField>
    <pivotField axis="axisRow" showAll="0">
      <items count="38">
        <item x="0"/>
        <item x="7"/>
        <item m="1" x="32"/>
        <item x="9"/>
        <item x="29"/>
        <item x="6"/>
        <item m="1" x="33"/>
        <item x="17"/>
        <item x="18"/>
        <item x="3"/>
        <item m="1" x="31"/>
        <item x="12"/>
        <item m="1" x="35"/>
        <item x="2"/>
        <item x="23"/>
        <item x="19"/>
        <item x="11"/>
        <item x="10"/>
        <item x="27"/>
        <item x="8"/>
        <item x="30"/>
        <item m="1" x="34"/>
        <item m="1" x="36"/>
        <item x="13"/>
        <item x="14"/>
        <item x="15"/>
        <item x="16"/>
        <item x="20"/>
        <item x="21"/>
        <item x="22"/>
        <item x="24"/>
        <item x="25"/>
        <item x="26"/>
        <item x="28"/>
        <item x="4"/>
        <item x="5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multipleItemSelectionAllowed="1" showAll="0">
      <items count="5">
        <item x="2"/>
        <item x="0"/>
        <item h="1"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3">
    <field x="0"/>
    <field x="14"/>
    <field x="1"/>
  </rowFields>
  <rowItems count="46">
    <i>
      <x/>
    </i>
    <i r="1">
      <x v="1"/>
    </i>
    <i r="2">
      <x/>
    </i>
    <i>
      <x v="2"/>
    </i>
    <i r="1">
      <x/>
    </i>
    <i r="2">
      <x v="35"/>
    </i>
    <i r="1">
      <x v="1"/>
    </i>
    <i r="2">
      <x v="1"/>
    </i>
    <i r="2">
      <x v="5"/>
    </i>
    <i r="2">
      <x v="13"/>
    </i>
    <i r="2">
      <x v="19"/>
    </i>
    <i>
      <x v="3"/>
    </i>
    <i r="1">
      <x v="1"/>
    </i>
    <i r="2">
      <x v="3"/>
    </i>
    <i r="2">
      <x v="17"/>
    </i>
    <i r="1">
      <x v="3"/>
    </i>
    <i r="2">
      <x v="16"/>
    </i>
    <i>
      <x v="4"/>
    </i>
    <i r="1">
      <x/>
    </i>
    <i r="2">
      <x v="15"/>
    </i>
    <i r="1">
      <x v="1"/>
    </i>
    <i r="2">
      <x v="8"/>
    </i>
    <i r="2">
      <x v="11"/>
    </i>
    <i r="2">
      <x v="26"/>
    </i>
    <i r="2">
      <x v="27"/>
    </i>
    <i r="1">
      <x v="3"/>
    </i>
    <i r="2">
      <x v="7"/>
    </i>
    <i>
      <x v="5"/>
    </i>
    <i r="1">
      <x/>
    </i>
    <i r="2">
      <x v="14"/>
    </i>
    <i r="2">
      <x v="32"/>
    </i>
    <i r="1">
      <x v="1"/>
    </i>
    <i r="2">
      <x v="14"/>
    </i>
    <i>
      <x v="6"/>
    </i>
    <i r="1">
      <x/>
    </i>
    <i r="2">
      <x v="4"/>
    </i>
    <i r="1">
      <x v="1"/>
    </i>
    <i r="2">
      <x v="4"/>
    </i>
    <i r="2">
      <x v="18"/>
    </i>
    <i r="2">
      <x v="20"/>
    </i>
    <i r="1">
      <x v="3"/>
    </i>
    <i r="2">
      <x v="18"/>
    </i>
    <i>
      <x v="7"/>
    </i>
    <i r="1">
      <x v="1"/>
    </i>
    <i r="2">
      <x v="36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VENTA ESTIMADA" fld="3" baseField="0" baseItem="4" numFmtId="167"/>
    <dataField name="Suma de VALOR DE LA PROPUESTA" fld="24" baseField="0" baseItem="4" numFmtId="167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5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</richValueRel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QUIPO" xr10:uid="{CF9024F2-2408-4100-AE1B-EB4B9E81F205}" sourceName="EQUIPO">
  <pivotTables>
    <pivotTable tabId="7" name="TablaDinámica3"/>
  </pivotTables>
  <data>
    <tabular pivotCacheId="302660054">
      <items count="8">
        <i x="0" s="1"/>
        <i x="2" s="1"/>
        <i x="3" s="1"/>
        <i x="4" s="1"/>
        <i x="5" s="1"/>
        <i x="6" s="1"/>
        <i x="1" s="1"/>
        <i x="7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QUIPO" xr10:uid="{DC85BA5D-D673-4B6A-AECB-288A2EA9FECC}" cache="SegmentaciónDeDatos_EQUIPO" caption="EQUIPO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26E605-9209-41F9-9C79-403F5F670860}" name="tbl_BasePowerBI" displayName="tbl_BasePowerBI" ref="A1:AG143" totalsRowShown="0" headerRowDxfId="67" dataDxfId="66">
  <autoFilter ref="A1:AG143" xr:uid="{C026E605-9209-41F9-9C79-403F5F670860}">
    <filterColumn colId="1">
      <filters>
        <filter val="Laura Melo"/>
      </filters>
    </filterColumn>
  </autoFilter>
  <tableColumns count="33">
    <tableColumn id="1" xr3:uid="{80389C8C-01FA-4E7B-AAF1-0B11AA110025}" name="EQUIPO" dataDxfId="64" totalsRowDxfId="65"/>
    <tableColumn id="2" xr3:uid="{9720A10B-4ADA-4B85-9377-AB9C6224F304}" name="NOMBRE EJECUTIVO" dataDxfId="62" totalsRowDxfId="63"/>
    <tableColumn id="3" xr3:uid="{CA9D8949-6B2E-4B24-9CDA-A4827594BAB5}" name="CUENTA" dataDxfId="60" totalsRowDxfId="61"/>
    <tableColumn id="4" xr3:uid="{98D97283-94D8-4BA4-8786-AA7C16CCAE5D}" name="VENTA ESTIMADA" dataDxfId="58" totalsRowDxfId="59"/>
    <tableColumn id="5" xr3:uid="{69D6057E-BC5A-4D47-BDD0-4C5B97CAF94D}" name="NECESIDAD 1" dataDxfId="56" totalsRowDxfId="57"/>
    <tableColumn id="6" xr3:uid="{47A857E5-1C72-4909-ADB7-AF050E1EB0E1}" name="NECESIDAD 2" dataDxfId="54" totalsRowDxfId="55"/>
    <tableColumn id="7" xr3:uid="{ED283B44-6ACF-478F-AE99-F174C620DB4A}" name="NECESIDAD 3" dataDxfId="52" totalsRowDxfId="53"/>
    <tableColumn id="8" xr3:uid="{95F1C76B-1FBA-40EA-8085-E9E4A82ADA05}" name="PLAN DE ACCIÓN 1" dataDxfId="50" totalsRowDxfId="51"/>
    <tableColumn id="9" xr3:uid="{15AEFD1B-89DB-40AB-9118-E14A6F0660D0}" name="AVANCE PLAN 1" dataDxfId="48" totalsRowDxfId="49"/>
    <tableColumn id="10" xr3:uid="{31ACC88A-46BC-46F5-9C78-021C8079C980}" name="PLAN DE ACCIÓN 2" dataDxfId="46" totalsRowDxfId="47"/>
    <tableColumn id="11" xr3:uid="{E9DD9095-8967-481D-B94B-26E4477AC7CB}" name="AVANCE PLAN 2" dataDxfId="44" totalsRowDxfId="45"/>
    <tableColumn id="12" xr3:uid="{7A7D51F4-6CC3-4422-8039-D7CACEDBECE8}" name="PLAN DE ACCIÓN 3" dataDxfId="42" totalsRowDxfId="43"/>
    <tableColumn id="13" xr3:uid="{27A6E116-4A88-4AD3-8CF7-339C343C5697}" name="AVANCE PLAN 3" dataDxfId="40" totalsRowDxfId="41"/>
    <tableColumn id="14" xr3:uid="{A02C5A76-63C3-4871-AD43-FAB101F7E7AA}" name="OPORTUNIDAD" dataDxfId="38" totalsRowDxfId="39"/>
    <tableColumn id="15" xr3:uid="{FDBA5983-6E2D-4A7F-AF1E-567CEC9EA110}" name="ESTADO" dataDxfId="36" totalsRowDxfId="37"/>
    <tableColumn id="16" xr3:uid="{95919F85-5228-4BF4-A11B-6979F7157139}" name="CLAVE" dataDxfId="34" totalsRowDxfId="35">
      <calculatedColumnFormula>A2&amp;"|"&amp;O2</calculatedColumnFormula>
    </tableColumn>
    <tableColumn id="18" xr3:uid="{46326FB1-4179-4BFA-AB0D-49D25E92AB20}" name="PRIORIDAD" dataDxfId="32" totalsRowDxfId="33"/>
    <tableColumn id="20" xr3:uid="{F2EB9062-E8EC-4831-B7B8-2C132F6AAF75}" name="RESPONSABLE" dataDxfId="30" totalsRowDxfId="31">
      <calculatedColumnFormula>TRIM(tbl_BasePowerBI[[#This Row],[NOMBRE EJECUTIVO]])</calculatedColumnFormula>
    </tableColumn>
    <tableColumn id="35" xr3:uid="{A8EA4B4E-04B1-4304-B9ED-4A6589BFF4D6}" name="MES" dataDxfId="28" totalsRowDxfId="29"/>
    <tableColumn id="33" xr3:uid="{68B15ED3-AB0A-4B34-9E64-3279AC73BD41}" name="FECHA SOLICITUD" dataDxfId="26" totalsRowDxfId="27"/>
    <tableColumn id="34" xr3:uid="{4E7A1E5D-E347-4F54-AB5C-93937DEBACF1}" name="FECHA DE ENTREGA" dataDxfId="24" totalsRowDxfId="25"/>
    <tableColumn id="32" xr3:uid="{72B6B9C9-8BF7-4AA3-825E-F524ED856CFC}" name="LINK DE PRESENTACION" dataDxfId="22" totalsRowDxfId="23"/>
    <tableColumn id="31" xr3:uid="{A31A4B9C-7323-45AB-9DCE-50B9510C55A7}" name="VALOR DE LA PROPUESTA" dataDxfId="20" totalsRowDxfId="21"/>
    <tableColumn id="21" xr3:uid="{0BC01873-FADA-4FC3-AD63-168D87171B0A}" name="Columna1" dataDxfId="18" totalsRowDxfId="19"/>
    <tableColumn id="22" xr3:uid="{4D9735DB-694B-4646-AA6C-40DE96CF8EAD}" name="Columna2" dataDxfId="16" totalsRowDxfId="17"/>
    <tableColumn id="23" xr3:uid="{47FAED11-AF60-4179-90AA-C2B0958D90DC}" name="Columna3" dataDxfId="14" totalsRowDxfId="15"/>
    <tableColumn id="24" xr3:uid="{09549260-F42B-4A26-B8EE-17525FE4561E}" name="NOMBRE DIRECTOR" dataDxfId="12" totalsRowDxfId="13"/>
    <tableColumn id="25" xr3:uid="{B322080E-4C39-490C-AFF8-C2E1B3AD8E78}" name="TIPO EQUIPO" dataDxfId="10" totalsRowDxfId="11"/>
    <tableColumn id="26" xr3:uid="{8D883B38-1598-4123-9BA8-AE2305D3FBAB}" name="EQUIPO4" dataDxfId="8" totalsRowDxfId="9"/>
    <tableColumn id="27" xr3:uid="{E31D86F7-BF16-4ECE-B42E-6D56C089FE21}" name="ESTADO5" dataDxfId="6" totalsRowDxfId="7"/>
    <tableColumn id="28" xr3:uid="{C8833826-63D6-484D-A7E9-448DA25017C7}" name="IMAGEN6" dataDxfId="4" totalsRowDxfId="5"/>
    <tableColumn id="29" xr3:uid="{1AF6B75F-47BC-424E-94FD-A6C1D7E15E85}" name="PRIORIDAD7" dataDxfId="2" totalsRowDxfId="3"/>
    <tableColumn id="30" xr3:uid="{9D4AEED9-12C8-4865-AA82-414D415E089F}" name="CLAVE8" dataDxfId="0" totalsRow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grupoprisa-my.sharepoint.com/:p:/r/personal/juangodoy_est_caracol_com_co/Documents/Attachments/PROPUESTA%20AMAZON%20ECOMMERCE.pptx?d=w62b49227b12142bc83e0320c7091870b&amp;csf=1&amp;web=1&amp;e=vMEsxV" TargetMode="External"/><Relationship Id="rId18" Type="http://schemas.openxmlformats.org/officeDocument/2006/relationships/hyperlink" Target="https://grupoprisa-my.sharepoint.com/:p:/r/personal/nicolas_bermudez_caracol_com_co/Documents/DIGITAL/Productos%20Digitales/Producto%20Digital%20-%20NESTOGENO%20-%20CRECIENDO%20JUNTAS.pptx?d=w0ec2db2957324cf5a354dc026ecf45f9&amp;csf=1&amp;web=1&amp;e=xpg7Qs" TargetMode="External"/><Relationship Id="rId26" Type="http://schemas.openxmlformats.org/officeDocument/2006/relationships/hyperlink" Target="https://grupoprisa-my.sharepoint.com/:p:/r/personal/sthefanie_botello_caracol_com_co/Documents/Escritorio/Productos%20digitales/PRODUCTO%20DIGITAL-DEL%20PLAY%20AL%20SHOW.pptx?d=w5fac09fe43e34ea7b432844787f5678b&amp;csf=1&amp;web=1&amp;e=Ef4hg2" TargetMode="External"/><Relationship Id="rId39" Type="http://schemas.openxmlformats.org/officeDocument/2006/relationships/hyperlink" Target="https://grupoprisa-my.sharepoint.com/:p:/r/personal/nicolas_bermudez_caracol_com_co/Documents/DIGITAL/Productos%20Digitales/Producto_Digital-TRIBUTO.pptx?d=w163e41cd53af4cdcb4c86921939e4660&amp;csf=1&amp;web=1&amp;e=Id0pYR" TargetMode="External"/><Relationship Id="rId21" Type="http://schemas.openxmlformats.org/officeDocument/2006/relationships/hyperlink" Target="https://grupoprisa-my.sharepoint.com/:p:/r/personal/juangodoy_est_caracol_com_co/Documents/Attachments/PROPUESTA%20HALEON.pptx?d=wea3c596aab5c40f4b1264d745347de67&amp;csf=1&amp;web=1&amp;e=aGJ5dM" TargetMode="External"/><Relationship Id="rId34" Type="http://schemas.openxmlformats.org/officeDocument/2006/relationships/hyperlink" Target="https://grupoprisa-my.sharepoint.com/:p:/r/personal/nicolas_bermudez_caracol_com_co/Documents/DIGITAL/Productos%20Digitales/Producto_Digital_RADIO%20INTERACTIVO.pptx?d=wf77035a5a60345069d3e3b13c31bcc3b&amp;csf=1&amp;web=1&amp;e=HkMS6V" TargetMode="External"/><Relationship Id="rId42" Type="http://schemas.openxmlformats.org/officeDocument/2006/relationships/hyperlink" Target="https://grupoprisa-my.sharepoint.com/:p:/r/personal/nicolas_bermudez_caracol_com_co/Documents/DIGITAL/Productos%20Digitales/PROPUESTA%20PARAMO%20PRESENTA.pptx?d=wff3779aa17ab46bb9411ce28b813d033&amp;csf=1&amp;web=1&amp;e=YEErhn" TargetMode="External"/><Relationship Id="rId47" Type="http://schemas.openxmlformats.org/officeDocument/2006/relationships/hyperlink" Target="https://grupoprisa-my.sharepoint.com/:p:/r/personal/nicolas_bermudez_caracol_com_co/Documents/DIGITAL/Productos%20Digitales/Producto_Digital-LA%20GRAN%20FIESTA%20DEL%20FESTIVERSARIO.pptx?d=w5ca56b07ff3b4813a1a4b3145c606e4d&amp;csf=1&amp;web=1&amp;e=2oCjaw" TargetMode="External"/><Relationship Id="rId50" Type="http://schemas.openxmlformats.org/officeDocument/2006/relationships/table" Target="../tables/table1.xml"/><Relationship Id="rId7" Type="http://schemas.openxmlformats.org/officeDocument/2006/relationships/hyperlink" Target="https://grupoprisa-my.sharepoint.com/:p:/r/personal/juangodoy_est_caracol_com_co/Documents/EL%20TOUR%20DEL%20ESTILO.pptx?d=wf013ae477afa4effb5f24c9922b12bf8&amp;csf=1&amp;web=1&amp;e=y8cAMR" TargetMode="External"/><Relationship Id="rId2" Type="http://schemas.openxmlformats.org/officeDocument/2006/relationships/hyperlink" Target="https://grupoprisa-my.sharepoint.com/:p:/r/personal/nicolas_bermudez_caracol_com_co/Documents/DIGITAL/Productos%20Digitales/Producto_Digital-EL%20MUNDIAL%20SE%20JUEGA%20CON%20BIOMAX.pptx?d=w2ef85ceb9ef04c3284ee9e36949a1c8f&amp;csf=1&amp;web=1&amp;e=OS90Gr" TargetMode="External"/><Relationship Id="rId16" Type="http://schemas.openxmlformats.org/officeDocument/2006/relationships/hyperlink" Target="https://grupoprisa-my.sharepoint.com/:p:/r/personal/sthefanie_botello_caracol_com_co/Documents/Escritorio/Productos%20digitales/PRODUCTO%20DIGITAL%20-%20LA%20BUENA.pptx?d=wfbb30cde9e8d40cfaf6bd3cf8a188db5&amp;csf=1&amp;web=1&amp;e=mAb4Vk" TargetMode="External"/><Relationship Id="rId29" Type="http://schemas.openxmlformats.org/officeDocument/2006/relationships/hyperlink" Target="https://grupoprisa-my.sharepoint.com/:p:/r/personal/nicolas_bermudez_caracol_com_co/Documents/DIGITAL/Productos%20Digitales/FRANQUICIAS%20PRISA.pptx?d=w7ca6bbbb9fc144d090b1822bae074d33&amp;csf=1&amp;web=1&amp;e=eFFuKY" TargetMode="External"/><Relationship Id="rId11" Type="http://schemas.openxmlformats.org/officeDocument/2006/relationships/hyperlink" Target="https://grupoprisa-my.sharepoint.com/:p:/r/personal/juangodoy_est_caracol_com_co/Documents/Attachments/PROPUESTA%20COMERCIAL%20HONOR.pptx?d=w9b49ccbc7cb64383957d69d046a07fc3&amp;csf=1&amp;web=1&amp;e=YGnjWK" TargetMode="External"/><Relationship Id="rId24" Type="http://schemas.openxmlformats.org/officeDocument/2006/relationships/hyperlink" Target="https://grupoprisa-my.sharepoint.com/:p:/r/personal/nicolas_bermudez_caracol_com_co/Documents/DIGITAL/Productos%20Digitales/PRODUCTO%20DIGITAL%20-%20AMALFITANA.pptx?d=w68e54c8f800e46f8afee0110f9d3ffd5&amp;csf=1&amp;web=1&amp;e=CjbdRE" TargetMode="External"/><Relationship Id="rId32" Type="http://schemas.openxmlformats.org/officeDocument/2006/relationships/hyperlink" Target="https://grupoprisa-my.sharepoint.com/:p:/r/personal/nicolas_bermudez_caracol_com_co/Documents/DIGITAL/Productos%20Digitales/Producto_Digital_Universo%20Beauty.pptx?d=w3178e7a4549a46dc893564d4ae51bcf0&amp;csf=1&amp;web=1&amp;e=rr5HPV" TargetMode="External"/><Relationship Id="rId37" Type="http://schemas.openxmlformats.org/officeDocument/2006/relationships/hyperlink" Target="https://grupoprisa-my.sharepoint.com/:p:/r/personal/nicolas_bermudez_caracol_com_co/Documents/DIGITAL/Productos%20Digitales/21-Producto_Digital_ECOSISTEMA-WHATSAPP.pptx?d=wfe907c9ed6394f5aa676f5c16a465b16&amp;csf=1&amp;web=1&amp;e=FI3HNw" TargetMode="External"/><Relationship Id="rId40" Type="http://schemas.openxmlformats.org/officeDocument/2006/relationships/hyperlink" Target="https://grupoprisa-my.sharepoint.com/:p:/r/personal/nicolas_bermudez_caracol_com_co/Documents/DIGITAL/Productos%20Digitales/PROPUESTA%20UNIVERSIDAD%20DE%20CATALU%C3%91A.pptx?d=w4d2c2557e8fc41ec8fdbf8c330aafeb4&amp;csf=1&amp;web=1&amp;e=ATKA8u" TargetMode="External"/><Relationship Id="rId45" Type="http://schemas.openxmlformats.org/officeDocument/2006/relationships/hyperlink" Target="https://grupoprisa-my.sharepoint.com/:p:/g/personal/juangodoy_est_caracol_com_co/IQAQHCjHLHXeQpGijneN_H5lActlHYQNn5Jhxg8oQL12bn8%20%20%20%20%20%20%20%20%20%20%20%20%20%20%20%20%20%20%20%20%20%20%20%20%20%20https:/grupoprisa-my.sharepoint.com/:p:/g/personal/juangodoy_est_caracol_com_co/IQCZl1yA5ZmPS7yCUZS3T5--AeQJKQE2dQZJJX-atpvHzDg" TargetMode="External"/><Relationship Id="rId5" Type="http://schemas.openxmlformats.org/officeDocument/2006/relationships/hyperlink" Target="https://grupoprisa-my.sharepoint.com/:p:/r/personal/sthefanie_botello_caracol_com_co/Documents/Escritorio/Productos%20digitales/Producto_Digital_MERCADO%20LIBRE%20LIVE%20COMMERCE.pptx?d=w2a3ebc3b146f4a4f98ded397c59e751e&amp;csf=1&amp;web=1&amp;e=Xxve3o" TargetMode="External"/><Relationship Id="rId15" Type="http://schemas.openxmlformats.org/officeDocument/2006/relationships/hyperlink" Target="https://grupoprisa-my.sharepoint.com/:p:/r/personal/sthefanie_botello_caracol_com_co/Documents/Attachments/FALABELLA%20SHOPPING%20EXPERIENCE.pptx?d=w0b3200f1b1a247a88b058b5977a78b00&amp;csf=1&amp;web=1&amp;e=BjDwct" TargetMode="External"/><Relationship Id="rId23" Type="http://schemas.openxmlformats.org/officeDocument/2006/relationships/hyperlink" Target="https://grupoprisa-my.sharepoint.com/:p:/r/personal/nicolas_bermudez_caracol_com_co/Documents/DIGITAL/Productos%20Digitales/PRODUCTO%20DIGITAL%20-%20TA%E2%80%A2DA.pptx?d=w333775fb57af4bb188f72c5f793eefe8&amp;csf=1&amp;web=1&amp;e=uaWwUN" TargetMode="External"/><Relationship Id="rId28" Type="http://schemas.openxmlformats.org/officeDocument/2006/relationships/hyperlink" Target="https://grupoprisa-my.sharepoint.com/:p:/r/personal/nicolas_bermudez_caracol_com_co/Documents/DIGITAL/Productos%20Digitales/Producto_Digital_FRANQUICIAS%20PRISA%202026.pptx?d=w9337b3fe008347e99b45d6f45674336d&amp;csf=1&amp;web=1&amp;e=U2AJ0F" TargetMode="External"/><Relationship Id="rId36" Type="http://schemas.openxmlformats.org/officeDocument/2006/relationships/hyperlink" Target="https://grupoprisa-my.sharepoint.com/:p:/r/personal/nicolas_bermudez_caracol_com_co/Documents/DIGITAL/Productos%20Digitales/FRANQUICIAS%20PRISA.pptx?d=w7ca6bbbb9fc144d090b1822bae074d33&amp;csf=1&amp;web=1&amp;e=MjSN1h" TargetMode="External"/><Relationship Id="rId49" Type="http://schemas.openxmlformats.org/officeDocument/2006/relationships/hyperlink" Target="https://grupoprisa-my.sharepoint.com/:p:/r/personal/nicolas_bermudez_caracol_com_co/Documents/DIGITAL/Productos%20Digitales/PUNTO%20RED%20+%20TROPICANA%20.pptx?d=w9659842f1a2b4cb5a0078e70c87d526a&amp;csf=1&amp;web=1&amp;e=1aPEiq" TargetMode="External"/><Relationship Id="rId10" Type="http://schemas.openxmlformats.org/officeDocument/2006/relationships/hyperlink" Target="https://grupoprisa-my.sharepoint.com/:p:/r/personal/juangodoy_est_caracol_com_co/Documents/Attachments/PROPUESTA%20ADIDAS.pptx?d=w1ec839ae925a4a95aef2477dd997afc1&amp;csf=1&amp;web=1&amp;e=W7WesK" TargetMode="External"/><Relationship Id="rId19" Type="http://schemas.openxmlformats.org/officeDocument/2006/relationships/hyperlink" Target="https://grupoprisa-my.sharepoint.com/:p:/r/personal/sthefanie_botello_caracol_com_co/Documents/Attachments/PRODUCTO%20DIGITAL%20-%20FUTURO%20GLOBAL%201.pptx?d=w7d082ba591954794a4853f011ef225b1&amp;csf=1&amp;web=1&amp;e=NJDyYh" TargetMode="External"/><Relationship Id="rId31" Type="http://schemas.openxmlformats.org/officeDocument/2006/relationships/hyperlink" Target="https://grupoprisa-my.sharepoint.com/:p:/r/personal/nicolas_bermudez_caracol_com_co/Documents/DIGITAL/Productos%20Digitales/Producto_Digital_FRANQUICIA%20MUNDIALISTA.pptx?d=w36c7626569ee4ab682c5477223cd13d9&amp;csf=1&amp;web=1&amp;e=r1BjwX" TargetMode="External"/><Relationship Id="rId44" Type="http://schemas.openxmlformats.org/officeDocument/2006/relationships/hyperlink" Target="https://grupoprisa-my.sharepoint.com/:p:/g/personal/juangodoy_est_caracol_com_co/IQCHxe3NSSkMSpsZDwFQ5LU5Ac7jtZiYMDl8eyyLQMcBTDw" TargetMode="External"/><Relationship Id="rId4" Type="http://schemas.openxmlformats.org/officeDocument/2006/relationships/hyperlink" Target="https://grupoprisa-my.sharepoint.com/:p:/r/personal/nicolas_bermudez_caracol_com_co/Documents/DIGITAL/Productos%20Digitales/Producto_Digital_EN%20EQUILIBRIO.pptx?d=wb1819d1c0ebe4d3784407122ba91d6bf&amp;csf=1&amp;web=1&amp;e=zOHsh7" TargetMode="External"/><Relationship Id="rId9" Type="http://schemas.openxmlformats.org/officeDocument/2006/relationships/hyperlink" Target="https://grupoprisa-my.sharepoint.com/:p:/g/personal/juangodoy_est_caracol_com_co/IQAbvqSuk_j7R6fukUVkjx7zATXZHTUC5Rp49sx_jKdXR4A?e=kuUIR2" TargetMode="External"/><Relationship Id="rId14" Type="http://schemas.openxmlformats.org/officeDocument/2006/relationships/hyperlink" Target="https://grupoprisa-my.sharepoint.com/:p:/r/personal/sthefanie_botello_caracol_com_co/Documents/Escritorio/Productos%20digitales/Producto_Digital-CONDUCE%20EL%20FUTURO-%20GAC.pptx?d=w90329673f0a447f780e244d58e2c9f95&amp;csf=1&amp;web=1&amp;e=9F4eB5" TargetMode="External"/><Relationship Id="rId22" Type="http://schemas.openxmlformats.org/officeDocument/2006/relationships/hyperlink" Target="https://grupoprisa-my.sharepoint.com/:p:/r/personal/nicolas_bermudez_caracol_com_co/Documents/DIGITAL/Productos%20Digitales/PRODUCTO%20DIGITAL%20-%20CERVEZA%20CORONA.pptx?d=w67d71f84ad274c92809a7e8a896612eb&amp;csf=1&amp;web=1&amp;e=iiGesd" TargetMode="External"/><Relationship Id="rId27" Type="http://schemas.openxmlformats.org/officeDocument/2006/relationships/hyperlink" Target="https://grupoprisa-my.sharepoint.com/:p:/r/personal/nicolas_bermudez_caracol_com_co/Documents/DIGITAL/Productos%20Digitales/PRODUCTO%20DIGITAL-LA%20RUTA%20DEL%20GOL.pptx?d=w32d42fec2b514590bae84a5e970e8272&amp;csf=1&amp;web=1&amp;e=KQiV6K" TargetMode="External"/><Relationship Id="rId30" Type="http://schemas.openxmlformats.org/officeDocument/2006/relationships/hyperlink" Target="https://grupoprisa-my.sharepoint.com/:p:/r/personal/nicolas_bermudez_caracol_com_co/Documents/DIGITAL/Productos%20Digitales/PRODUCTO%20DIGITAL-ELECCIONES%202026.pptx?d=wa0a398c95b3348fcb6ff7c7331192b98&amp;csf=1&amp;web=1&amp;e=5RyiqJ" TargetMode="External"/><Relationship Id="rId35" Type="http://schemas.openxmlformats.org/officeDocument/2006/relationships/hyperlink" Target="https://grupoprisa-my.sharepoint.com/:p:/r/personal/sthefanie_botello_caracol_com_co/Documents/Escritorio/Productos%20digitales/Producto_Digital-CONEXI%C3%93N%20PRISA.pptx?d=w25e67bb8ec9d449d8caff07c2e453193&amp;csf=1&amp;web=1&amp;e=ic09di" TargetMode="External"/><Relationship Id="rId43" Type="http://schemas.openxmlformats.org/officeDocument/2006/relationships/hyperlink" Target="https://grupoprisa-my.sharepoint.com/:p:/g/personal/juangodoy_est_caracol_com_co/IQCYkmJrdbInS4u8M93JA0qcAZGDL-39y8dP9-zxG8YRQ3k" TargetMode="External"/><Relationship Id="rId48" Type="http://schemas.openxmlformats.org/officeDocument/2006/relationships/hyperlink" Target="https://grupoprisa-my.sharepoint.com/:p:/r/personal/nicolas_bermudez_caracol_com_co/Documents/DIGITAL/Productos%20Digitales/MAPA%20DEL%20ULTIMO%201_%20-%20VANTI%20-%20TROPICANA%20(1).pptx?d=w4e4aa5bcd4f1450290e160dc423311a0&amp;csf=1&amp;web=1&amp;e=LqUoNh" TargetMode="External"/><Relationship Id="rId8" Type="http://schemas.openxmlformats.org/officeDocument/2006/relationships/hyperlink" Target="https://grupoprisa-my.sharepoint.com/:p:/r/personal/juangodoy_est_caracol_com_co/Documents/Attachments/PROPUESTA%20DESPEGAR.pptx?d=wd0ce958b3bf64f7ebd9b028f0cfec022&amp;csf=1&amp;web=1&amp;e=D56cZ1" TargetMode="External"/><Relationship Id="rId3" Type="http://schemas.openxmlformats.org/officeDocument/2006/relationships/hyperlink" Target="https://grupoprisa-my.sharepoint.com/:p:/r/personal/juangodoy_est_caracol_com_co/Documents/PROPUESTAS%20ELABORADAS%20JUAN%20PABLO%20GODOY/PRODUCTO%20DIGITAL%20DISTOYOTA.pptx?d=w3a07582c984d42f8ac91d084458ee283&amp;csf=1&amp;web=1&amp;e=L9aBVQ" TargetMode="External"/><Relationship Id="rId12" Type="http://schemas.openxmlformats.org/officeDocument/2006/relationships/hyperlink" Target="https://grupoprisa-my.sharepoint.com/:p:/r/personal/juangodoy_est_caracol_com_co/Documents/Attachments/PROPUESTA%20NIKE.pptx?d=w154211e9c50f4043abe0794d8da6eb65&amp;csf=1&amp;web=1&amp;e=fiGWin" TargetMode="External"/><Relationship Id="rId17" Type="http://schemas.openxmlformats.org/officeDocument/2006/relationships/hyperlink" Target="https://grupoprisa-my.sharepoint.com/:p:/r/personal/sthefanie_botello_caracol_com_co/Documents/Escritorio/Productos%20digitales/PRODUCTO%20DIGITAL-LA%20RUTA%20DEL%20GOL.pptx?d=wbd9e70d7f2cc4faab1e18f7f040fcc07&amp;csf=1&amp;web=1&amp;e=5ExtJW" TargetMode="External"/><Relationship Id="rId25" Type="http://schemas.openxmlformats.org/officeDocument/2006/relationships/hyperlink" Target="https://grupoprisa-my.sharepoint.com/:p:/r/personal/sthefanie_botello_caracol_com_co/Documents/Escritorio/Productos%20digitales/PRODUCTO%20DIGITAL-FRANQUICIAS-M%C3%9ASICA%20EN%20MOVIMIENTO.pptx?d=w4d85c2041963407f8b071f9ae36c644b&amp;csf=1&amp;web=1&amp;e=AHSuEs" TargetMode="External"/><Relationship Id="rId33" Type="http://schemas.openxmlformats.org/officeDocument/2006/relationships/hyperlink" Target="https://grupoprisa-my.sharepoint.com/:p:/r/personal/nicolas_bermudez_caracol_com_co/Documents/DIGITAL/Productos%20Digitales/Producto_Digital_LIVING%20EXPERIENCE.pptx?d=w03c474b901ac4050a6c4f2be72738ad8&amp;csf=1&amp;web=1&amp;e=5vDbNJ" TargetMode="External"/><Relationship Id="rId38" Type="http://schemas.openxmlformats.org/officeDocument/2006/relationships/hyperlink" Target="https://grupoprisa-my.sharepoint.com/:p:/g/personal/juangodoy_est_caracol_com_co/IQCTvV2t-eLWQq2L9mflqXwPAfE1ADF1gSilO6Wk8SmQ5eY?CID=ad890f88-4ed8-9a0d-3c25-51ff00ffeb03&amp;SI=SentItems&amp;SLSync=F" TargetMode="External"/><Relationship Id="rId46" Type="http://schemas.openxmlformats.org/officeDocument/2006/relationships/hyperlink" Target="https://grupoprisa-my.sharepoint.com/:p:/r/personal/nicolas_bermudez_caracol_com_co/Documents/DIGITAL/Productos%20Digitales/Presentaci%C3%B3n%20Escape%20Game%20-%20Fontanar.pptx?d=w83e1ed9dff2140399e667973fbc75511&amp;csf=1&amp;web=1&amp;e=OwlmN8" TargetMode="External"/><Relationship Id="rId20" Type="http://schemas.openxmlformats.org/officeDocument/2006/relationships/hyperlink" Target="https://canva.link/7gihh7hu1w85rtl" TargetMode="External"/><Relationship Id="rId41" Type="http://schemas.openxmlformats.org/officeDocument/2006/relationships/hyperlink" Target="https://grupoprisa-my.sharepoint.com/:p:/r/personal/nicolas_bermudez_caracol_com_co/Documents/DIGITAL/Productos%20Digitales/PROPUESTA%20HP.pptx?d=w8dce01d439954fdeaeb2f567d8e5404a&amp;csf=1&amp;web=1&amp;e=GskOjE" TargetMode="External"/><Relationship Id="rId1" Type="http://schemas.openxmlformats.org/officeDocument/2006/relationships/hyperlink" Target="https://grupoprisa-my.sharepoint.com/:p:/r/personal/nicolas_bermudez_caracol_com_co/Documents/DIGITAL/Productos%20Digitales/PRODUCTO%20DIGITAL%20-%20COLFONDOS.pptx?d=w604ca08f351b4a15bbe6750b670656ba&amp;csf=1&amp;web=1&amp;e=qKLRfY" TargetMode="External"/><Relationship Id="rId6" Type="http://schemas.openxmlformats.org/officeDocument/2006/relationships/hyperlink" Target="https://grupoprisa-my.sharepoint.com/:p:/r/personal/nicolas_bermudez_caracol_com_co/Documents/DIGITAL/Productos%20Digitales/Producto_Digital-La%20prote%C3%ADna%20que%20une%20a%20Colombia-%20FENAVI.pptx?d=wc86eed22e520416c9b5d8fca90f4b72d&amp;csf=1&amp;web=1&amp;e=56gj6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Z1000"/>
  <sheetViews>
    <sheetView workbookViewId="0">
      <selection activeCell="D11" sqref="D11"/>
    </sheetView>
  </sheetViews>
  <sheetFormatPr defaultColWidth="12.5703125" defaultRowHeight="15" customHeight="1"/>
  <cols>
    <col min="1" max="1" width="2.85546875" style="1" customWidth="1"/>
    <col min="2" max="2" width="19.42578125" customWidth="1"/>
    <col min="3" max="3" width="21.7109375" customWidth="1"/>
    <col min="4" max="4" width="28.28515625" customWidth="1"/>
    <col min="5" max="5" width="16" customWidth="1"/>
    <col min="6" max="6" width="2.5703125" customWidth="1"/>
    <col min="7" max="7" width="20" customWidth="1"/>
    <col min="8" max="8" width="18.5703125" customWidth="1"/>
    <col min="9" max="9" width="24.42578125" customWidth="1"/>
    <col min="10" max="10" width="16.5703125" customWidth="1"/>
    <col min="11" max="11" width="4" customWidth="1"/>
    <col min="12" max="12" width="19.7109375" customWidth="1"/>
    <col min="13" max="13" width="18.5703125" customWidth="1"/>
    <col min="14" max="14" width="27.140625" customWidth="1"/>
    <col min="15" max="15" width="15.7109375" customWidth="1"/>
    <col min="16" max="16" width="2.42578125" customWidth="1"/>
    <col min="17" max="17" width="17.42578125" customWidth="1"/>
    <col min="18" max="18" width="18.5703125" customWidth="1"/>
    <col min="19" max="19" width="27.7109375" customWidth="1"/>
    <col min="20" max="20" width="15.7109375" customWidth="1"/>
    <col min="21" max="21" width="2.42578125" customWidth="1"/>
    <col min="22" max="23" width="18.5703125" customWidth="1"/>
    <col min="24" max="24" width="25.42578125" customWidth="1"/>
    <col min="25" max="25" width="15.7109375" customWidth="1"/>
    <col min="26" max="26" width="18.5703125" style="1" customWidth="1"/>
  </cols>
  <sheetData>
    <row r="1" spans="2:25" ht="21.75" customHeight="1">
      <c r="B1" s="192" t="s">
        <v>0</v>
      </c>
      <c r="C1" s="204"/>
      <c r="D1" s="204"/>
      <c r="E1" s="205"/>
      <c r="F1" s="2"/>
      <c r="G1" s="193" t="s">
        <v>1</v>
      </c>
      <c r="H1" s="206"/>
      <c r="I1" s="206"/>
      <c r="J1" s="207"/>
      <c r="K1" s="2"/>
      <c r="L1" s="194" t="s">
        <v>2</v>
      </c>
      <c r="M1" s="208"/>
      <c r="N1" s="208"/>
      <c r="O1" s="209"/>
      <c r="P1" s="2"/>
      <c r="Q1" s="188" t="s">
        <v>3</v>
      </c>
      <c r="R1" s="210"/>
      <c r="S1" s="210"/>
      <c r="T1" s="211"/>
      <c r="U1" s="2"/>
      <c r="V1" s="195" t="s">
        <v>4</v>
      </c>
      <c r="W1" s="212"/>
      <c r="X1" s="212"/>
      <c r="Y1" s="213"/>
    </row>
    <row r="2" spans="2:25" ht="21.75" customHeight="1">
      <c r="B2" s="199" t="s">
        <v>5</v>
      </c>
      <c r="C2" s="214"/>
      <c r="D2" s="214"/>
      <c r="E2" s="215"/>
      <c r="F2" s="2"/>
      <c r="G2" s="196" t="s">
        <v>5</v>
      </c>
      <c r="H2" s="216"/>
      <c r="I2" s="216"/>
      <c r="J2" s="217"/>
      <c r="K2" s="2"/>
      <c r="L2" s="197" t="s">
        <v>5</v>
      </c>
      <c r="M2" s="218"/>
      <c r="N2" s="218"/>
      <c r="O2" s="219"/>
      <c r="P2" s="2"/>
      <c r="Q2" s="189" t="s">
        <v>5</v>
      </c>
      <c r="R2" s="220"/>
      <c r="S2" s="220"/>
      <c r="T2" s="221"/>
      <c r="U2" s="2"/>
      <c r="V2" s="198" t="s">
        <v>5</v>
      </c>
      <c r="W2" s="222"/>
      <c r="X2" s="222"/>
      <c r="Y2" s="223"/>
    </row>
    <row r="3" spans="2:25" ht="21.75" customHeight="1">
      <c r="B3" s="200"/>
      <c r="C3" s="214"/>
      <c r="D3" s="214"/>
      <c r="E3" s="215"/>
      <c r="F3" s="2"/>
      <c r="G3" s="196"/>
      <c r="H3" s="216"/>
      <c r="I3" s="216"/>
      <c r="J3" s="217"/>
      <c r="K3" s="2"/>
      <c r="L3" s="197"/>
      <c r="M3" s="218"/>
      <c r="N3" s="218"/>
      <c r="O3" s="219"/>
      <c r="P3" s="3"/>
      <c r="Q3" s="190"/>
      <c r="R3" s="220"/>
      <c r="S3" s="220"/>
      <c r="T3" s="221"/>
      <c r="U3" s="4"/>
      <c r="V3" s="191"/>
      <c r="W3" s="222"/>
      <c r="X3" s="222"/>
      <c r="Y3" s="223"/>
    </row>
    <row r="4" spans="2:25" ht="21.75" customHeight="1">
      <c r="B4" s="5" t="s">
        <v>6</v>
      </c>
      <c r="C4" s="6" t="s">
        <v>7</v>
      </c>
      <c r="D4" s="6" t="s">
        <v>8</v>
      </c>
      <c r="E4" s="7" t="s">
        <v>9</v>
      </c>
      <c r="F4" s="8"/>
      <c r="G4" s="9" t="s">
        <v>6</v>
      </c>
      <c r="H4" s="10" t="s">
        <v>7</v>
      </c>
      <c r="I4" s="10" t="s">
        <v>8</v>
      </c>
      <c r="J4" s="11" t="s">
        <v>9</v>
      </c>
      <c r="K4" s="8"/>
      <c r="L4" s="12" t="s">
        <v>6</v>
      </c>
      <c r="M4" s="13" t="s">
        <v>7</v>
      </c>
      <c r="N4" s="13" t="s">
        <v>8</v>
      </c>
      <c r="O4" s="14" t="s">
        <v>9</v>
      </c>
      <c r="P4" s="8"/>
      <c r="Q4" s="15" t="s">
        <v>6</v>
      </c>
      <c r="R4" s="16" t="s">
        <v>7</v>
      </c>
      <c r="S4" s="16" t="s">
        <v>8</v>
      </c>
      <c r="T4" s="17" t="s">
        <v>9</v>
      </c>
      <c r="U4" s="8"/>
      <c r="V4" s="18" t="s">
        <v>6</v>
      </c>
      <c r="W4" s="19" t="s">
        <v>7</v>
      </c>
      <c r="X4" s="19" t="s">
        <v>8</v>
      </c>
      <c r="Y4" s="20" t="s">
        <v>9</v>
      </c>
    </row>
    <row r="5" spans="2:25" ht="21.75" customHeight="1">
      <c r="B5" s="21"/>
      <c r="C5" s="22" t="s">
        <v>10</v>
      </c>
      <c r="D5" s="23"/>
      <c r="E5" s="24"/>
      <c r="F5" s="1"/>
      <c r="G5" s="25"/>
      <c r="H5" s="26" t="s">
        <v>11</v>
      </c>
      <c r="I5" s="27"/>
      <c r="J5" s="28"/>
      <c r="K5" s="1"/>
      <c r="L5" s="29"/>
      <c r="M5" s="30" t="s">
        <v>12</v>
      </c>
      <c r="N5" s="30" t="s">
        <v>13</v>
      </c>
      <c r="O5" s="31"/>
      <c r="P5" s="4"/>
      <c r="Q5" s="32"/>
      <c r="R5" s="33" t="s">
        <v>14</v>
      </c>
      <c r="S5" s="33"/>
      <c r="T5" s="34"/>
      <c r="U5" s="4"/>
      <c r="V5" s="35"/>
      <c r="W5" s="36" t="s">
        <v>15</v>
      </c>
      <c r="X5" s="19"/>
      <c r="Y5" s="37"/>
    </row>
    <row r="6" spans="2:25" ht="21.75" customHeight="1">
      <c r="B6" s="21"/>
      <c r="C6" s="22" t="s">
        <v>16</v>
      </c>
      <c r="D6" s="22"/>
      <c r="E6" s="38"/>
      <c r="F6" s="4"/>
      <c r="G6" s="39"/>
      <c r="H6" s="27" t="s">
        <v>17</v>
      </c>
      <c r="I6" s="27"/>
      <c r="J6" s="40"/>
      <c r="K6" s="4"/>
      <c r="L6" s="29"/>
      <c r="M6" s="30" t="s">
        <v>18</v>
      </c>
      <c r="N6" s="30" t="s">
        <v>19</v>
      </c>
      <c r="O6" s="31"/>
      <c r="P6" s="4"/>
      <c r="Q6" s="32"/>
      <c r="R6" s="33" t="s">
        <v>20</v>
      </c>
      <c r="S6" s="33"/>
      <c r="T6" s="34"/>
      <c r="U6" s="4"/>
      <c r="V6" s="35"/>
      <c r="W6" s="36" t="s">
        <v>21</v>
      </c>
      <c r="X6" s="19"/>
      <c r="Y6" s="37"/>
    </row>
    <row r="7" spans="2:25" ht="21.75" customHeight="1">
      <c r="B7" s="21"/>
      <c r="C7" s="22" t="s">
        <v>22</v>
      </c>
      <c r="D7" s="22"/>
      <c r="E7" s="38"/>
      <c r="F7" s="4"/>
      <c r="G7" s="39"/>
      <c r="H7" s="27" t="s">
        <v>23</v>
      </c>
      <c r="I7" s="27"/>
      <c r="J7" s="40"/>
      <c r="K7" s="4"/>
      <c r="L7" s="29"/>
      <c r="M7" s="30" t="s">
        <v>24</v>
      </c>
      <c r="N7" s="30" t="s">
        <v>25</v>
      </c>
      <c r="O7" s="31"/>
      <c r="P7" s="4"/>
      <c r="Q7" s="32"/>
      <c r="R7" s="33" t="s">
        <v>26</v>
      </c>
      <c r="S7" s="33"/>
      <c r="T7" s="34"/>
      <c r="U7" s="4"/>
      <c r="V7" s="35"/>
      <c r="W7" s="36" t="s">
        <v>27</v>
      </c>
      <c r="X7" s="19"/>
      <c r="Y7" s="37"/>
    </row>
    <row r="8" spans="2:25" ht="21.75" customHeight="1">
      <c r="B8" s="21"/>
      <c r="C8" s="22" t="s">
        <v>28</v>
      </c>
      <c r="D8" s="22"/>
      <c r="E8" s="38"/>
      <c r="F8" s="4"/>
      <c r="G8" s="39"/>
      <c r="H8" s="27" t="s">
        <v>29</v>
      </c>
      <c r="I8" s="27"/>
      <c r="J8" s="40"/>
      <c r="K8" s="4"/>
      <c r="L8" s="29"/>
      <c r="M8" s="30" t="s">
        <v>30</v>
      </c>
      <c r="N8" s="30" t="s">
        <v>31</v>
      </c>
      <c r="O8" s="31"/>
      <c r="P8" s="4"/>
      <c r="Q8" s="32"/>
      <c r="R8" s="33" t="s">
        <v>32</v>
      </c>
      <c r="S8" s="33"/>
      <c r="T8" s="34"/>
      <c r="U8" s="4"/>
      <c r="V8" s="35"/>
      <c r="W8" s="36" t="s">
        <v>33</v>
      </c>
      <c r="X8" s="19"/>
      <c r="Y8" s="37"/>
    </row>
    <row r="9" spans="2:25" ht="21.75" customHeight="1">
      <c r="B9" s="21"/>
      <c r="C9" s="22" t="s">
        <v>34</v>
      </c>
      <c r="D9" s="22" t="s">
        <v>35</v>
      </c>
      <c r="E9" s="38"/>
      <c r="F9" s="4"/>
      <c r="G9" s="39"/>
      <c r="H9" s="27" t="s">
        <v>36</v>
      </c>
      <c r="I9" s="27"/>
      <c r="J9" s="40"/>
      <c r="K9" s="4"/>
      <c r="L9" s="29"/>
      <c r="M9" s="30" t="s">
        <v>37</v>
      </c>
      <c r="N9" s="30" t="s">
        <v>38</v>
      </c>
      <c r="O9" s="31"/>
      <c r="P9" s="4"/>
      <c r="Q9" s="32"/>
      <c r="R9" s="33" t="s">
        <v>39</v>
      </c>
      <c r="S9" s="33"/>
      <c r="T9" s="34"/>
      <c r="U9" s="4"/>
      <c r="V9" s="35"/>
      <c r="W9" s="36" t="s">
        <v>40</v>
      </c>
      <c r="X9" s="19"/>
      <c r="Y9" s="37"/>
    </row>
    <row r="10" spans="2:25" ht="31.5" customHeight="1">
      <c r="B10" s="21"/>
      <c r="C10" s="22" t="s">
        <v>41</v>
      </c>
      <c r="D10" s="22"/>
      <c r="E10" s="38"/>
      <c r="F10" s="4"/>
      <c r="G10" s="41"/>
      <c r="H10" s="42" t="s">
        <v>42</v>
      </c>
      <c r="I10" s="42"/>
      <c r="J10" s="43"/>
      <c r="K10" s="4"/>
      <c r="L10" s="29"/>
      <c r="M10" s="30" t="s">
        <v>43</v>
      </c>
      <c r="N10" s="30" t="s">
        <v>44</v>
      </c>
      <c r="O10" s="31"/>
      <c r="P10" s="4"/>
      <c r="Q10" s="32"/>
      <c r="R10" s="33" t="s">
        <v>45</v>
      </c>
      <c r="S10" s="33"/>
      <c r="T10" s="34"/>
      <c r="U10" s="4"/>
      <c r="V10" s="35"/>
      <c r="W10" s="36" t="s">
        <v>46</v>
      </c>
      <c r="X10" s="44" t="s">
        <v>47</v>
      </c>
      <c r="Y10" s="37"/>
    </row>
    <row r="11" spans="2:25" ht="66.75" customHeight="1">
      <c r="B11" s="21"/>
      <c r="C11" s="22" t="s">
        <v>48</v>
      </c>
      <c r="D11" s="22"/>
      <c r="E11" s="38"/>
      <c r="F11" s="4"/>
      <c r="G11" s="45" t="s">
        <v>49</v>
      </c>
      <c r="H11" s="185"/>
      <c r="I11" s="206"/>
      <c r="J11" s="207"/>
      <c r="K11" s="46"/>
      <c r="L11" s="47"/>
      <c r="M11" s="30" t="s">
        <v>50</v>
      </c>
      <c r="N11" s="30" t="s">
        <v>51</v>
      </c>
      <c r="O11" s="31"/>
      <c r="P11" s="4"/>
      <c r="Q11" s="48"/>
      <c r="R11" s="33" t="s">
        <v>52</v>
      </c>
      <c r="S11" s="33"/>
      <c r="T11" s="34"/>
      <c r="U11" s="49"/>
      <c r="V11" s="50"/>
      <c r="W11" s="36" t="s">
        <v>53</v>
      </c>
      <c r="X11" s="51" t="s">
        <v>54</v>
      </c>
      <c r="Y11" s="37"/>
    </row>
    <row r="12" spans="2:25" ht="21.75" customHeight="1">
      <c r="B12" s="21"/>
      <c r="C12" s="22" t="s">
        <v>55</v>
      </c>
      <c r="D12" s="22"/>
      <c r="E12" s="38"/>
      <c r="F12" s="4"/>
      <c r="G12" s="52" t="s">
        <v>56</v>
      </c>
      <c r="H12" s="186" t="s">
        <v>57</v>
      </c>
      <c r="I12" s="216"/>
      <c r="J12" s="217"/>
      <c r="K12" s="4"/>
      <c r="L12" s="53"/>
      <c r="M12" s="54"/>
      <c r="N12" s="54"/>
      <c r="O12" s="55"/>
      <c r="P12" s="4"/>
      <c r="Q12" s="32"/>
      <c r="R12" s="33" t="s">
        <v>58</v>
      </c>
      <c r="S12" s="33"/>
      <c r="T12" s="34"/>
      <c r="U12" s="4"/>
      <c r="V12" s="35"/>
      <c r="W12" s="36" t="s">
        <v>59</v>
      </c>
      <c r="X12" s="56" t="s">
        <v>60</v>
      </c>
      <c r="Y12" s="37"/>
    </row>
    <row r="13" spans="2:25" ht="63" customHeight="1">
      <c r="B13" s="21"/>
      <c r="C13" s="22" t="s">
        <v>61</v>
      </c>
      <c r="D13" s="22"/>
      <c r="E13" s="38"/>
      <c r="F13" s="4"/>
      <c r="G13" s="52" t="s">
        <v>62</v>
      </c>
      <c r="H13" s="224"/>
      <c r="I13" s="216"/>
      <c r="J13" s="217"/>
      <c r="K13" s="4"/>
      <c r="L13" s="57" t="s">
        <v>49</v>
      </c>
      <c r="M13" s="187"/>
      <c r="N13" s="208"/>
      <c r="O13" s="209"/>
      <c r="P13" s="4"/>
      <c r="Q13" s="32"/>
      <c r="R13" s="33" t="s">
        <v>63</v>
      </c>
      <c r="S13" s="33"/>
      <c r="T13" s="34"/>
      <c r="U13" s="4"/>
      <c r="V13" s="58"/>
      <c r="W13" s="59"/>
      <c r="X13" s="60"/>
      <c r="Y13" s="61"/>
    </row>
    <row r="14" spans="2:25" ht="64.5" customHeight="1">
      <c r="B14" s="21"/>
      <c r="C14" s="22" t="s">
        <v>64</v>
      </c>
      <c r="D14" s="22"/>
      <c r="E14" s="38"/>
      <c r="F14" s="4"/>
      <c r="G14" s="52" t="s">
        <v>65</v>
      </c>
      <c r="H14" s="224"/>
      <c r="I14" s="216"/>
      <c r="J14" s="217"/>
      <c r="K14" s="4"/>
      <c r="L14" s="62" t="s">
        <v>56</v>
      </c>
      <c r="M14" s="184" t="s">
        <v>57</v>
      </c>
      <c r="N14" s="218"/>
      <c r="O14" s="219"/>
      <c r="P14" s="46"/>
      <c r="Q14" s="32"/>
      <c r="R14" s="33" t="s">
        <v>66</v>
      </c>
      <c r="S14" s="33"/>
      <c r="T14" s="34"/>
      <c r="U14" s="4"/>
      <c r="V14" s="63" t="s">
        <v>49</v>
      </c>
      <c r="W14" s="181"/>
      <c r="X14" s="212"/>
      <c r="Y14" s="213"/>
    </row>
    <row r="15" spans="2:25" ht="21.75" customHeight="1">
      <c r="B15" s="21"/>
      <c r="C15" s="22" t="s">
        <v>67</v>
      </c>
      <c r="D15" s="22"/>
      <c r="E15" s="38"/>
      <c r="F15" s="4"/>
      <c r="G15" s="52" t="s">
        <v>68</v>
      </c>
      <c r="H15" s="224"/>
      <c r="I15" s="216"/>
      <c r="J15" s="217"/>
      <c r="K15" s="4"/>
      <c r="L15" s="62" t="s">
        <v>62</v>
      </c>
      <c r="M15" s="225"/>
      <c r="N15" s="218"/>
      <c r="O15" s="219"/>
      <c r="P15" s="4"/>
      <c r="Q15" s="32"/>
      <c r="R15" s="33" t="s">
        <v>69</v>
      </c>
      <c r="S15" s="33"/>
      <c r="T15" s="34"/>
      <c r="U15" s="4"/>
      <c r="V15" s="64" t="s">
        <v>56</v>
      </c>
      <c r="W15" s="182" t="s">
        <v>57</v>
      </c>
      <c r="X15" s="222"/>
      <c r="Y15" s="223"/>
    </row>
    <row r="16" spans="2:25" ht="58.5" customHeight="1">
      <c r="B16" s="21"/>
      <c r="C16" s="22" t="s">
        <v>70</v>
      </c>
      <c r="D16" s="22"/>
      <c r="E16" s="38"/>
      <c r="F16" s="4"/>
      <c r="G16" s="52" t="s">
        <v>71</v>
      </c>
      <c r="H16" s="224"/>
      <c r="I16" s="216"/>
      <c r="J16" s="217"/>
      <c r="K16" s="4"/>
      <c r="L16" s="62" t="s">
        <v>65</v>
      </c>
      <c r="M16" s="225"/>
      <c r="N16" s="218"/>
      <c r="O16" s="219"/>
      <c r="P16" s="4"/>
      <c r="Q16" s="32"/>
      <c r="R16" s="33" t="s">
        <v>72</v>
      </c>
      <c r="S16" s="33"/>
      <c r="T16" s="34"/>
      <c r="U16" s="4"/>
      <c r="V16" s="64" t="s">
        <v>62</v>
      </c>
      <c r="W16" s="226"/>
      <c r="X16" s="222"/>
      <c r="Y16" s="223"/>
    </row>
    <row r="17" spans="2:25" ht="21.75" customHeight="1">
      <c r="B17" s="21"/>
      <c r="C17" s="22" t="s">
        <v>73</v>
      </c>
      <c r="D17" s="22"/>
      <c r="E17" s="38"/>
      <c r="F17" s="4"/>
      <c r="G17" s="65" t="s">
        <v>74</v>
      </c>
      <c r="H17" s="178" t="s">
        <v>75</v>
      </c>
      <c r="I17" s="227"/>
      <c r="J17" s="228"/>
      <c r="K17" s="4"/>
      <c r="L17" s="62" t="s">
        <v>68</v>
      </c>
      <c r="M17" s="225"/>
      <c r="N17" s="218"/>
      <c r="O17" s="219"/>
      <c r="P17" s="4"/>
      <c r="Q17" s="32"/>
      <c r="R17" s="33" t="s">
        <v>76</v>
      </c>
      <c r="S17" s="33"/>
      <c r="T17" s="34"/>
      <c r="U17" s="4"/>
      <c r="V17" s="64" t="s">
        <v>65</v>
      </c>
      <c r="W17" s="226"/>
      <c r="X17" s="222"/>
      <c r="Y17" s="223"/>
    </row>
    <row r="18" spans="2:25" ht="21.75" customHeight="1">
      <c r="B18" s="21"/>
      <c r="C18" s="22" t="s">
        <v>77</v>
      </c>
      <c r="D18" s="22"/>
      <c r="E18" s="38"/>
      <c r="F18" s="4"/>
      <c r="G18" s="1"/>
      <c r="H18" s="1"/>
      <c r="I18" s="1"/>
      <c r="J18" s="1"/>
      <c r="K18" s="1"/>
      <c r="L18" s="62" t="s">
        <v>71</v>
      </c>
      <c r="M18" s="225"/>
      <c r="N18" s="218"/>
      <c r="O18" s="219"/>
      <c r="P18" s="4"/>
      <c r="Q18" s="66"/>
      <c r="R18" s="67" t="s">
        <v>78</v>
      </c>
      <c r="S18" s="67"/>
      <c r="T18" s="68"/>
      <c r="U18" s="1"/>
      <c r="V18" s="64" t="s">
        <v>68</v>
      </c>
      <c r="W18" s="226"/>
      <c r="X18" s="222"/>
      <c r="Y18" s="223"/>
    </row>
    <row r="19" spans="2:25" ht="22.5" customHeight="1">
      <c r="B19" s="21"/>
      <c r="C19" s="22" t="s">
        <v>79</v>
      </c>
      <c r="D19" s="22"/>
      <c r="E19" s="38"/>
      <c r="F19" s="4"/>
      <c r="G19" s="1"/>
      <c r="H19" s="1"/>
      <c r="I19" s="1"/>
      <c r="J19" s="1"/>
      <c r="K19" s="1"/>
      <c r="L19" s="69" t="s">
        <v>74</v>
      </c>
      <c r="M19" s="183" t="s">
        <v>75</v>
      </c>
      <c r="N19" s="229"/>
      <c r="O19" s="230"/>
      <c r="P19" s="4"/>
      <c r="Q19" s="66"/>
      <c r="R19" s="67" t="s">
        <v>80</v>
      </c>
      <c r="S19" s="67"/>
      <c r="T19" s="68"/>
      <c r="U19" s="1"/>
      <c r="V19" s="64" t="s">
        <v>71</v>
      </c>
      <c r="W19" s="226"/>
      <c r="X19" s="222"/>
      <c r="Y19" s="223"/>
    </row>
    <row r="20" spans="2:25" ht="21.75" customHeight="1">
      <c r="B20" s="21"/>
      <c r="C20" s="22" t="s">
        <v>81</v>
      </c>
      <c r="D20" s="22"/>
      <c r="E20" s="38"/>
      <c r="F20" s="4"/>
      <c r="G20" s="1"/>
      <c r="H20" s="1"/>
      <c r="I20" s="1"/>
      <c r="J20" s="1"/>
      <c r="K20" s="1"/>
      <c r="L20" s="1"/>
      <c r="M20" s="1"/>
      <c r="N20" s="1"/>
      <c r="O20" s="1"/>
      <c r="P20" s="4"/>
      <c r="Q20" s="66"/>
      <c r="R20" s="70" t="s">
        <v>82</v>
      </c>
      <c r="S20" s="67"/>
      <c r="T20" s="68"/>
      <c r="U20" s="1"/>
      <c r="V20" s="71" t="s">
        <v>74</v>
      </c>
      <c r="W20" s="202" t="s">
        <v>75</v>
      </c>
      <c r="X20" s="231"/>
      <c r="Y20" s="232"/>
    </row>
    <row r="21" spans="2:25" ht="21.75" customHeight="1">
      <c r="B21" s="21"/>
      <c r="C21" s="22" t="s">
        <v>83</v>
      </c>
      <c r="D21" s="22"/>
      <c r="E21" s="38"/>
      <c r="F21" s="4"/>
      <c r="G21" s="1"/>
      <c r="H21" s="1"/>
      <c r="I21" s="1"/>
      <c r="J21" s="1"/>
      <c r="K21" s="1"/>
      <c r="L21" s="1"/>
      <c r="M21" s="1"/>
      <c r="N21" s="1"/>
      <c r="O21" s="1"/>
      <c r="P21" s="1"/>
      <c r="Q21" s="66"/>
      <c r="R21" s="67" t="s">
        <v>84</v>
      </c>
      <c r="S21" s="67"/>
      <c r="T21" s="68"/>
      <c r="U21" s="1"/>
      <c r="V21" s="1"/>
      <c r="W21" s="1"/>
      <c r="X21" s="1"/>
      <c r="Y21" s="1"/>
    </row>
    <row r="22" spans="2:25" ht="21.75" customHeight="1">
      <c r="B22" s="21"/>
      <c r="C22" s="22" t="s">
        <v>85</v>
      </c>
      <c r="D22" s="22"/>
      <c r="E22" s="38"/>
      <c r="F22" s="4"/>
      <c r="G22" s="1"/>
      <c r="H22" s="1"/>
      <c r="I22" s="1"/>
      <c r="J22" s="1"/>
      <c r="K22" s="1"/>
      <c r="L22" s="1"/>
      <c r="M22" s="1"/>
      <c r="N22" s="1"/>
      <c r="O22" s="1"/>
      <c r="P22" s="1"/>
      <c r="Q22" s="66"/>
      <c r="R22" s="67" t="s">
        <v>86</v>
      </c>
      <c r="S22" s="67"/>
      <c r="T22" s="68"/>
      <c r="U22" s="1"/>
      <c r="V22" s="1"/>
      <c r="W22" s="1"/>
      <c r="X22" s="1"/>
      <c r="Y22" s="1"/>
    </row>
    <row r="23" spans="2:25" ht="21.75" customHeight="1">
      <c r="B23" s="21"/>
      <c r="C23" s="22" t="s">
        <v>87</v>
      </c>
      <c r="D23" s="22"/>
      <c r="E23" s="38"/>
      <c r="F23" s="4"/>
      <c r="G23" s="1"/>
      <c r="H23" s="1"/>
      <c r="I23" s="1"/>
      <c r="J23" s="1"/>
      <c r="K23" s="1"/>
      <c r="L23" s="1"/>
      <c r="M23" s="1"/>
      <c r="N23" s="1"/>
      <c r="O23" s="1"/>
      <c r="P23" s="1"/>
      <c r="Q23" s="66"/>
      <c r="R23" s="67" t="s">
        <v>88</v>
      </c>
      <c r="S23" s="67"/>
      <c r="T23" s="68"/>
      <c r="U23" s="1"/>
      <c r="V23" s="1"/>
      <c r="W23" s="1"/>
      <c r="X23" s="1"/>
      <c r="Y23" s="1"/>
    </row>
    <row r="24" spans="2:25" ht="21.75" customHeight="1">
      <c r="B24" s="21"/>
      <c r="C24" s="22" t="s">
        <v>89</v>
      </c>
      <c r="D24" s="22"/>
      <c r="E24" s="38"/>
      <c r="F24" s="4"/>
      <c r="G24" s="1"/>
      <c r="H24" s="1"/>
      <c r="I24" s="1"/>
      <c r="J24" s="1"/>
      <c r="K24" s="1"/>
      <c r="L24" s="1"/>
      <c r="M24" s="1"/>
      <c r="N24" s="1"/>
      <c r="O24" s="1"/>
      <c r="P24" s="1"/>
      <c r="Q24" s="66"/>
      <c r="R24" s="67" t="s">
        <v>90</v>
      </c>
      <c r="S24" s="67"/>
      <c r="T24" s="68"/>
      <c r="U24" s="1"/>
      <c r="V24" s="1"/>
      <c r="W24" s="1"/>
      <c r="X24" s="1"/>
      <c r="Y24" s="1"/>
    </row>
    <row r="25" spans="2:25" ht="21.75" customHeight="1">
      <c r="B25" s="21"/>
      <c r="C25" s="22" t="s">
        <v>91</v>
      </c>
      <c r="D25" s="22"/>
      <c r="E25" s="38"/>
      <c r="F25" s="4"/>
      <c r="G25" s="1"/>
      <c r="H25" s="1"/>
      <c r="I25" s="1"/>
      <c r="J25" s="1"/>
      <c r="K25" s="1"/>
      <c r="L25" s="1"/>
      <c r="M25" s="1"/>
      <c r="N25" s="1"/>
      <c r="O25" s="1"/>
      <c r="P25" s="1"/>
      <c r="Q25" s="66"/>
      <c r="R25" s="67" t="s">
        <v>92</v>
      </c>
      <c r="S25" s="67"/>
      <c r="T25" s="68"/>
      <c r="U25" s="1"/>
      <c r="V25" s="1"/>
      <c r="W25" s="1"/>
      <c r="X25" s="1"/>
      <c r="Y25" s="1"/>
    </row>
    <row r="26" spans="2:25" ht="21.75" customHeight="1">
      <c r="B26" s="21"/>
      <c r="C26" s="22" t="s">
        <v>93</v>
      </c>
      <c r="D26" s="22"/>
      <c r="E26" s="38"/>
      <c r="F26" s="4"/>
      <c r="G26" s="1"/>
      <c r="H26" s="1"/>
      <c r="I26" s="1"/>
      <c r="J26" s="1"/>
      <c r="K26" s="1"/>
      <c r="L26" s="1"/>
      <c r="M26" s="1"/>
      <c r="N26" s="1"/>
      <c r="O26" s="1"/>
      <c r="P26" s="1"/>
      <c r="Q26" s="66"/>
      <c r="R26" s="67" t="s">
        <v>94</v>
      </c>
      <c r="S26" s="67"/>
      <c r="T26" s="68"/>
      <c r="U26" s="1"/>
      <c r="V26" s="1"/>
      <c r="W26" s="1"/>
      <c r="X26" s="1"/>
      <c r="Y26" s="1"/>
    </row>
    <row r="27" spans="2:25" ht="21.75" customHeight="1">
      <c r="B27" s="21"/>
      <c r="C27" s="22" t="s">
        <v>95</v>
      </c>
      <c r="D27" s="22"/>
      <c r="E27" s="38"/>
      <c r="F27" s="4"/>
      <c r="G27" s="1"/>
      <c r="H27" s="1"/>
      <c r="I27" s="1"/>
      <c r="J27" s="1"/>
      <c r="K27" s="1"/>
      <c r="L27" s="1"/>
      <c r="M27" s="1"/>
      <c r="N27" s="1"/>
      <c r="O27" s="1"/>
      <c r="P27" s="1"/>
      <c r="Q27" s="66"/>
      <c r="R27" s="67" t="s">
        <v>96</v>
      </c>
      <c r="S27" s="67"/>
      <c r="T27" s="68"/>
      <c r="U27" s="1"/>
      <c r="V27" s="1"/>
      <c r="W27" s="1"/>
      <c r="X27" s="1"/>
      <c r="Y27" s="1"/>
    </row>
    <row r="28" spans="2:25" ht="21.75" customHeight="1">
      <c r="B28" s="72"/>
      <c r="C28" s="73"/>
      <c r="D28" s="74"/>
      <c r="E28" s="75"/>
      <c r="F28" s="4"/>
      <c r="G28" s="1"/>
      <c r="H28" s="1"/>
      <c r="I28" s="1"/>
      <c r="J28" s="1"/>
      <c r="K28" s="1"/>
      <c r="L28" s="1"/>
      <c r="M28" s="1"/>
      <c r="N28" s="1"/>
      <c r="O28" s="1"/>
      <c r="P28" s="1"/>
      <c r="Q28" s="66"/>
      <c r="R28" s="67" t="s">
        <v>97</v>
      </c>
      <c r="S28" s="67"/>
      <c r="T28" s="68"/>
      <c r="U28" s="1"/>
      <c r="V28" s="1"/>
      <c r="W28" s="1"/>
      <c r="X28" s="1"/>
      <c r="Y28" s="1"/>
    </row>
    <row r="29" spans="2:25" ht="61.5" customHeight="1">
      <c r="B29" s="76" t="s">
        <v>49</v>
      </c>
      <c r="C29" s="179"/>
      <c r="D29" s="204"/>
      <c r="E29" s="205"/>
      <c r="F29" s="46"/>
      <c r="G29" s="1"/>
      <c r="H29" s="1"/>
      <c r="I29" s="1"/>
      <c r="J29" s="1"/>
      <c r="K29" s="1"/>
      <c r="L29" s="1"/>
      <c r="M29" s="1"/>
      <c r="N29" s="1"/>
      <c r="O29" s="1"/>
      <c r="P29" s="1"/>
      <c r="Q29" s="66"/>
      <c r="R29" s="67" t="s">
        <v>98</v>
      </c>
      <c r="S29" s="67"/>
      <c r="T29" s="68"/>
      <c r="U29" s="1"/>
      <c r="V29" s="1"/>
      <c r="W29" s="1"/>
      <c r="X29" s="1"/>
      <c r="Y29" s="1"/>
    </row>
    <row r="30" spans="2:25" ht="21.75" customHeight="1">
      <c r="B30" s="77" t="s">
        <v>56</v>
      </c>
      <c r="C30" s="180" t="s">
        <v>57</v>
      </c>
      <c r="D30" s="214"/>
      <c r="E30" s="215"/>
      <c r="F30" s="4"/>
      <c r="G30" s="1"/>
      <c r="H30" s="1"/>
      <c r="I30" s="1"/>
      <c r="J30" s="1"/>
      <c r="K30" s="1"/>
      <c r="L30" s="1"/>
      <c r="M30" s="1"/>
      <c r="N30" s="1"/>
      <c r="O30" s="1"/>
      <c r="P30" s="1"/>
      <c r="Q30" s="78"/>
      <c r="R30" s="79" t="s">
        <v>99</v>
      </c>
      <c r="S30" s="79"/>
      <c r="T30" s="80"/>
      <c r="U30" s="1"/>
      <c r="V30" s="1"/>
      <c r="W30" s="1"/>
      <c r="X30" s="1"/>
      <c r="Y30" s="1"/>
    </row>
    <row r="31" spans="2:25" ht="63" customHeight="1">
      <c r="B31" s="77" t="s">
        <v>62</v>
      </c>
      <c r="C31" s="233"/>
      <c r="D31" s="214"/>
      <c r="E31" s="215"/>
      <c r="F31" s="4"/>
      <c r="G31" s="1"/>
      <c r="H31" s="1"/>
      <c r="I31" s="1"/>
      <c r="J31" s="1"/>
      <c r="K31" s="1"/>
      <c r="L31" s="1"/>
      <c r="M31" s="1"/>
      <c r="N31" s="1"/>
      <c r="O31" s="1"/>
      <c r="P31" s="1"/>
      <c r="Q31" s="81" t="s">
        <v>49</v>
      </c>
      <c r="R31" s="234"/>
      <c r="S31" s="210"/>
      <c r="T31" s="211"/>
      <c r="U31" s="1"/>
      <c r="V31" s="1"/>
      <c r="W31" s="1"/>
      <c r="X31" s="1"/>
      <c r="Y31" s="1"/>
    </row>
    <row r="32" spans="2:25" ht="21.75" customHeight="1">
      <c r="B32" s="77" t="s">
        <v>65</v>
      </c>
      <c r="C32" s="233"/>
      <c r="D32" s="214"/>
      <c r="E32" s="215"/>
      <c r="F32" s="4"/>
      <c r="G32" s="1"/>
      <c r="H32" s="1"/>
      <c r="I32" s="1"/>
      <c r="J32" s="1"/>
      <c r="K32" s="1"/>
      <c r="L32" s="1"/>
      <c r="M32" s="1"/>
      <c r="N32" s="1"/>
      <c r="O32" s="1"/>
      <c r="P32" s="1"/>
      <c r="Q32" s="82" t="s">
        <v>56</v>
      </c>
      <c r="R32" s="203" t="s">
        <v>57</v>
      </c>
      <c r="S32" s="220"/>
      <c r="T32" s="221"/>
      <c r="U32" s="1"/>
      <c r="V32" s="1"/>
      <c r="W32" s="1"/>
      <c r="X32" s="1"/>
      <c r="Y32" s="1"/>
    </row>
    <row r="33" spans="2:25" ht="21.75" customHeight="1">
      <c r="B33" s="77" t="s">
        <v>68</v>
      </c>
      <c r="C33" s="233"/>
      <c r="D33" s="214"/>
      <c r="E33" s="215"/>
      <c r="F33" s="4"/>
      <c r="G33" s="1"/>
      <c r="H33" s="1"/>
      <c r="I33" s="1"/>
      <c r="J33" s="1"/>
      <c r="K33" s="1"/>
      <c r="L33" s="1"/>
      <c r="M33" s="1"/>
      <c r="N33" s="1"/>
      <c r="O33" s="1"/>
      <c r="P33" s="1"/>
      <c r="Q33" s="82" t="s">
        <v>62</v>
      </c>
      <c r="R33" s="235"/>
      <c r="S33" s="220"/>
      <c r="T33" s="221"/>
      <c r="U33" s="1"/>
      <c r="V33" s="1"/>
      <c r="W33" s="1"/>
      <c r="X33" s="1"/>
      <c r="Y33" s="1"/>
    </row>
    <row r="34" spans="2:25" ht="21.75" customHeight="1">
      <c r="B34" s="77" t="s">
        <v>71</v>
      </c>
      <c r="C34" s="233"/>
      <c r="D34" s="214"/>
      <c r="E34" s="215"/>
      <c r="F34" s="4"/>
      <c r="G34" s="1"/>
      <c r="H34" s="1"/>
      <c r="I34" s="1"/>
      <c r="J34" s="1"/>
      <c r="K34" s="1"/>
      <c r="L34" s="1"/>
      <c r="M34" s="1"/>
      <c r="N34" s="1"/>
      <c r="O34" s="1"/>
      <c r="P34" s="1"/>
      <c r="Q34" s="82" t="s">
        <v>65</v>
      </c>
      <c r="R34" s="235"/>
      <c r="S34" s="220"/>
      <c r="T34" s="221"/>
      <c r="U34" s="1"/>
      <c r="V34" s="1"/>
      <c r="W34" s="1"/>
      <c r="X34" s="1"/>
      <c r="Y34" s="1"/>
    </row>
    <row r="35" spans="2:25" ht="21.75" customHeight="1">
      <c r="B35" s="83" t="s">
        <v>74</v>
      </c>
      <c r="C35" s="177" t="s">
        <v>75</v>
      </c>
      <c r="D35" s="236"/>
      <c r="E35" s="237"/>
      <c r="F35" s="4"/>
      <c r="G35" s="1"/>
      <c r="H35" s="1"/>
      <c r="I35" s="1"/>
      <c r="J35" s="1"/>
      <c r="K35" s="1"/>
      <c r="L35" s="1"/>
      <c r="M35" s="1"/>
      <c r="N35" s="1"/>
      <c r="O35" s="1"/>
      <c r="P35" s="1"/>
      <c r="Q35" s="82" t="s">
        <v>68</v>
      </c>
      <c r="R35" s="235"/>
      <c r="S35" s="220"/>
      <c r="T35" s="221"/>
      <c r="U35" s="1"/>
      <c r="V35" s="1"/>
      <c r="W35" s="1"/>
      <c r="X35" s="1"/>
      <c r="Y35" s="1"/>
    </row>
    <row r="36" spans="2:25" ht="21.75" customHeight="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82" t="s">
        <v>71</v>
      </c>
      <c r="R36" s="235"/>
      <c r="S36" s="220"/>
      <c r="T36" s="221"/>
      <c r="U36" s="1"/>
      <c r="V36" s="1"/>
      <c r="W36" s="1"/>
      <c r="X36" s="1"/>
      <c r="Y36" s="1"/>
    </row>
    <row r="37" spans="2:25" ht="21.75" customHeight="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84" t="s">
        <v>74</v>
      </c>
      <c r="R37" s="201" t="s">
        <v>75</v>
      </c>
      <c r="S37" s="238"/>
      <c r="T37" s="239"/>
      <c r="U37" s="1"/>
      <c r="V37" s="1"/>
      <c r="W37" s="1"/>
      <c r="X37" s="1"/>
      <c r="Y37" s="1"/>
    </row>
    <row r="38" spans="2:25" ht="21.75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2:25" ht="21.75" customHeight="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2:25" ht="21.75" customHeight="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2:25" ht="21.75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2:25" ht="21.75" customHeight="1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2:25" ht="21.75" customHeight="1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2:25" ht="21.7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2:25" ht="21.75" customHeight="1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2:25" ht="21.75" customHeight="1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2:25" ht="21.75" customHeight="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2:25" ht="21.75" customHeight="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2:25" ht="21.75" customHeight="1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2:25" ht="21.75" customHeight="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2:25" ht="21.75" customHeight="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2:25" ht="21.75" customHeight="1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2:25" ht="21.75" customHeight="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2:25" ht="21.75" customHeight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2:25" ht="21.75" customHeight="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25" ht="21.75" customHeight="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2:25" ht="21.75" customHeight="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2:25" ht="21.75" customHeight="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2:25" ht="21.75" customHeight="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2:25" ht="21.75" customHeight="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2:25" ht="21.75" customHeight="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2:25" ht="21.7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2:25" ht="21.75" customHeigh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2:25" ht="21.75" customHeight="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25" ht="21.75" customHeight="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2:25" ht="21.75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2:25" ht="21.75" customHeight="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2:25" ht="21.75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2:25" ht="21.75" customHeight="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2:25" ht="21.75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2:25" ht="21.75" customHeight="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2:25" ht="21.75" customHeight="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2:25" ht="21.75" customHeight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25" ht="21.75" customHeight="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2:25" ht="21.75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2:25" ht="21.75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2:25" ht="21.75" customHeigh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2:25" ht="21.7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2:25" ht="21.7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2:25" ht="21.75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2:25" ht="21.75" customHeight="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2:25" ht="21.75" customHeight="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2:25" ht="21.75" customHeight="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2:25" ht="21.75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2:25" ht="21.75" customHeight="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2:25" ht="21.75" customHeight="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2:25" ht="21.75" customHeight="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2:25" ht="21.75" customHeight="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2:25" ht="21.75" customHeight="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2:25" ht="21.75" customHeight="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2:25" ht="21.75" customHeight="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2:25" ht="21.75" customHeight="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2:25" ht="21.75" customHeigh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25" ht="21.75" customHeigh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25" ht="21.75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25" ht="21.75" customHeight="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ht="21.75" customHeight="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ht="21.75" customHeight="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ht="21.75" customHeight="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ht="21.75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2:25" ht="21.75" customHeight="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2:25" ht="21.75" customHeight="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2:25" ht="21.75" customHeight="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2:25" ht="21.75" customHeight="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2:25" ht="21.75" customHeight="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2:25" ht="21.75" customHeight="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2:25" ht="21.75" customHeight="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2:25" ht="21.75" customHeight="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2:25" ht="21.75" customHeight="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2:25" ht="21.75" customHeight="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2:25" ht="21.75" customHeight="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ht="21.75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ht="21.75" customHeight="1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ht="21.75" customHeight="1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ht="21.75" customHeight="1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ht="21.75" customHeight="1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ht="21.75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ht="21.75" customHeight="1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2:25" ht="21.75" customHeight="1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2:25" ht="21.75" customHeight="1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2:25" ht="21.75" customHeight="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2:25" ht="21.75" customHeight="1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2:25" ht="21.75" customHeight="1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2:25" ht="21.75" customHeight="1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2:25" ht="21.75" customHeight="1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2:25" ht="21.75" customHeight="1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2:25" ht="21.75" customHeight="1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2:25" ht="21.75" customHeight="1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2:25" ht="21.75" customHeight="1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2:25" ht="21.75" customHeight="1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2:25" ht="21.75" customHeight="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2:25" ht="21.75" customHeight="1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2:25" ht="21.75" customHeight="1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2:25" ht="21.75" customHeight="1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2:25" ht="21.75" customHeight="1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2:25" ht="21.75" customHeight="1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2:25" ht="21.75" customHeight="1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2:25" ht="21.75" customHeight="1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ht="21.75" customHeight="1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ht="21.75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ht="21.75" customHeight="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ht="21.75" customHeight="1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ht="21.75" customHeight="1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ht="21.75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ht="21.75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2:25" ht="21.75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2:25" ht="21.75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2:25" ht="21.75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2:25" ht="21.75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2:25" ht="21.75" customHeight="1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2:25" ht="21.75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2:25" ht="21.75" customHeight="1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2:25" ht="21.75" customHeight="1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2:25" ht="21.75" customHeight="1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2:25" ht="21.75" customHeight="1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2:25" ht="21.75" customHeight="1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2:25" ht="21.75" customHeight="1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2:25" ht="21.75" customHeight="1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2:25" ht="21.75" customHeight="1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2:25" ht="21.75" customHeight="1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2:25" ht="21.75" customHeight="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2:25" ht="21.75" customHeight="1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2:25" ht="21.75" customHeight="1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2:25" ht="21.75" customHeight="1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2:25" ht="21.75" customHeight="1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2:25" ht="21.75" customHeight="1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2:25" ht="21.75" customHeight="1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2:25" ht="21.75" customHeight="1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2:25" ht="21.75" customHeight="1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2:25" ht="21.75" customHeight="1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2:25" ht="21.75" customHeight="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2:25" ht="21.75" customHeight="1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2:25" ht="21.75" customHeight="1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2:25" ht="21.75" customHeight="1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2:25" ht="21.75" customHeight="1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2:25" ht="21.75" customHeight="1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2:25" ht="21.75" customHeight="1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2:25" ht="21.75" customHeight="1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2:25" ht="21.75" customHeight="1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2:25" ht="21.75" customHeight="1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2:25" ht="21.75" customHeight="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2:25" ht="21.75" customHeight="1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2:25" ht="21.75" customHeight="1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2:25" ht="21.75" customHeight="1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2:25" ht="21.75" customHeight="1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2:25" ht="21.75" customHeight="1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2:25" ht="21.75" customHeight="1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2:25" ht="21.75" customHeight="1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2:25" ht="21.75" customHeight="1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2:25" ht="21.75" customHeight="1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2:25" ht="21.75" customHeight="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2:25" ht="21.75" customHeight="1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2:25" ht="21.75" customHeight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2:25" ht="21.75" customHeight="1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2:25" ht="21.75" customHeight="1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2:25" ht="21.75" customHeight="1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2:25" ht="21.75" customHeight="1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2:25" ht="21.75" customHeight="1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2:25" ht="21.75" customHeight="1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2:25" ht="21.75" customHeight="1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2:25" ht="21.75" customHeight="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2:25" ht="21.75" customHeight="1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2:25" ht="21.75" customHeight="1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2:25" ht="21.75" customHeight="1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2:25" ht="21.75" customHeight="1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2:25" ht="21.75" customHeight="1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2:25" ht="21.75" customHeight="1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2:25" ht="21.75" customHeight="1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2:25" ht="21.75" customHeight="1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2:25" ht="21.75" customHeight="1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2:25" ht="21.75" customHeight="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2:25" ht="21.75" customHeight="1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2:25" ht="21.75" customHeight="1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2:25" ht="21.75" customHeight="1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2:25" ht="21.75" customHeight="1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2:25" ht="21.75" customHeight="1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2:25" ht="21.75" customHeight="1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2:25" ht="21.75" customHeight="1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2:25" ht="21.75" customHeight="1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2:25" ht="21.75" customHeight="1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2:25" ht="21.75" customHeight="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2:25" ht="21.75" customHeight="1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2:25" ht="21.75" customHeight="1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2:25" ht="21.75" customHeight="1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2:25" ht="21.75" customHeight="1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2:25" ht="21.75" customHeight="1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2:25" ht="21.75" customHeight="1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2:25" ht="21.75" customHeight="1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2:25" ht="21.75" customHeight="1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2:25" ht="21.75" customHeight="1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2:25" ht="21.75" customHeight="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2:25" ht="21.75" customHeight="1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2:25" ht="21.75" customHeight="1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2:25" ht="21.75" customHeight="1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2:25" ht="21.75" customHeight="1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2:25" ht="21.75" customHeight="1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2:25" ht="21.75" customHeight="1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2:25" ht="21.75" customHeight="1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2:25" ht="21.75" customHeight="1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2:25" ht="21.75" customHeight="1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2:25" ht="21.75" customHeight="1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2:25" ht="21.75" customHeight="1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2:25" ht="21.75" customHeight="1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2:25" ht="21.75" customHeight="1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2:25" ht="21.75" customHeight="1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2:25" ht="21.75" customHeight="1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2:25" ht="21.75" customHeight="1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2:25" ht="21.75" customHeight="1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2:25" ht="21.75" customHeight="1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2:25" ht="21.75" customHeight="1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2:25" ht="21.75" customHeight="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2:25" ht="21.75" customHeight="1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2:25" ht="21.75" customHeight="1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2:25" ht="21.75" customHeight="1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2:25" ht="21.75" customHeight="1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2:25" ht="21.75" customHeight="1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2:25" ht="21.75" customHeight="1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2:25" ht="21.75" customHeight="1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2:25" ht="21.75" customHeight="1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2:25" ht="21.75" customHeight="1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2:25" ht="21.75" customHeight="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2:25" ht="21.75" customHeight="1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2:25" ht="21.75" customHeight="1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2:25" ht="21.75" customHeight="1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2:25" ht="21.75" customHeight="1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2:25" ht="21.75" customHeight="1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2:25" ht="21.75" customHeight="1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2:25" ht="21.75" customHeight="1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2:25" ht="21.75" customHeight="1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2:25" ht="21.75" customHeight="1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2:25" ht="21.75" customHeight="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2:25" ht="21.75" customHeight="1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2:25" ht="21.75" customHeight="1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2:25" ht="21.75" customHeight="1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2:25" ht="21.75" customHeight="1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2:25" ht="21.75" customHeight="1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2:25" ht="21.75" customHeight="1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2:25" ht="21.75" customHeight="1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2:25" ht="21.75" customHeight="1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2:25" ht="21.75" customHeight="1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2:25" ht="21.75" customHeight="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2:25" ht="21.75" customHeight="1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2:25" ht="21.75" customHeight="1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2:25" ht="21.75" customHeight="1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2:25" ht="21.75" customHeight="1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2:25" ht="21.75" customHeight="1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2:25" ht="21.75" customHeight="1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2:25" ht="21.75" customHeight="1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2:25" ht="21.75" customHeight="1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2:25" ht="21.75" customHeight="1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2:25" ht="21.75" customHeight="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2:25" ht="21.75" customHeight="1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2:25" ht="21.75" customHeight="1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2:25" ht="21.75" customHeight="1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2:25" ht="21.75" customHeight="1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2:25" ht="21.75" customHeight="1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2:25" ht="21.75" customHeight="1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2:25" ht="21.75" customHeight="1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2:25" ht="21.75" customHeight="1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2:25" ht="21.75" customHeight="1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2:25" ht="21.75" customHeight="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2:25" ht="21.75" customHeight="1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2:25" ht="21.75" customHeight="1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2:25" ht="21.75" customHeight="1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2:25" ht="21.75" customHeight="1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2:25" ht="21.75" customHeight="1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2:25" ht="21.75" customHeight="1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2:25" ht="21.75" customHeight="1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2:25" ht="21.75" customHeight="1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2:25" ht="21.75" customHeight="1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2:25" ht="21.75" customHeight="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2:25" ht="21.75" customHeight="1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2:25" ht="21.75" customHeight="1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2:25" ht="21.75" customHeight="1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2:25" ht="21.75" customHeight="1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2:25" ht="21.75" customHeight="1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2:25" ht="21.75" customHeight="1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2:25" ht="21.75" customHeight="1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2:25" ht="21.75" customHeight="1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2:25" ht="21.75" customHeight="1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2:25" ht="21.75" customHeight="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2:25" ht="21.75" customHeight="1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2:25" ht="21.75" customHeight="1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2:25" ht="21.75" customHeight="1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2:25" ht="21.75" customHeight="1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2:25" ht="21.75" customHeight="1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2:25" ht="21.75" customHeight="1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2:25" ht="21.75" customHeight="1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2:25" ht="21.75" customHeight="1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2:25" ht="21.75" customHeight="1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2:25" ht="21.75" customHeight="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2:25" ht="21.75" customHeight="1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2:25" ht="21.75" customHeight="1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2:25" ht="21.75" customHeight="1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2:25" ht="21.75" customHeight="1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2:25" ht="21.75" customHeight="1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2:25" ht="21.75" customHeight="1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2:25" ht="21.75" customHeight="1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2:25" ht="21.75" customHeight="1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2:25" ht="21.75" customHeight="1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2:25" ht="21.75" customHeight="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2:25" ht="21.75" customHeight="1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2:25" ht="21.75" customHeight="1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2:25" ht="21.75" customHeight="1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2:25" ht="21.75" customHeight="1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2:25" ht="21.75" customHeight="1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2:25" ht="21.75" customHeight="1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2:25" ht="21.75" customHeight="1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2:25" ht="21.75" customHeight="1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2:25" ht="21.75" customHeight="1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2:25" ht="21.75" customHeight="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2:25" ht="21.75" customHeight="1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2:25" ht="21.75" customHeight="1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2:25" ht="21.75" customHeight="1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2:25" ht="21.75" customHeight="1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2:25" ht="21.75" customHeight="1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2:25" ht="21.75" customHeight="1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2:25" ht="21.75" customHeight="1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2:25" ht="21.75" customHeight="1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2:25" ht="21.75" customHeight="1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2:25" ht="21.75" customHeight="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2:25" ht="21.75" customHeight="1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2:25" ht="21.75" customHeight="1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2:25" ht="21.75" customHeight="1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2:25" ht="21.75" customHeight="1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2:25" ht="21.75" customHeight="1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2:25" ht="21.75" customHeight="1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2:25" ht="21.75" customHeight="1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2:25" ht="21.75" customHeight="1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2:25" ht="21.75" customHeight="1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2:25" ht="21.75" customHeight="1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2:25" ht="21.75" customHeight="1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2:25" ht="21.75" customHeight="1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2:25" ht="21.75" customHeight="1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2:25" ht="21.75" customHeight="1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2:25" ht="21.75" customHeight="1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2:25" ht="21.75" customHeight="1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2:25" ht="21.75" customHeight="1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2:25" ht="21.75" customHeight="1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2:25" ht="21.75" customHeight="1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2:25" ht="21.75" customHeight="1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2:25" ht="21.75" customHeight="1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2:25" ht="21.75" customHeight="1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2:25" ht="21.75" customHeight="1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2:25" ht="21.75" customHeight="1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2:25" ht="21.75" customHeight="1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2:25" ht="21.75" customHeight="1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2:25" ht="21.75" customHeight="1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2:25" ht="21.75" customHeight="1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2:25" ht="21.75" customHeight="1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2:25" ht="21.75" customHeight="1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2:25" ht="21.75" customHeight="1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2:25" ht="21.75" customHeight="1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2:25" ht="21.75" customHeight="1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2:25" ht="21.75" customHeight="1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2:25" ht="21.75" customHeight="1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2:25" ht="21.75" customHeight="1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2:25" ht="21.75" customHeight="1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2:25" ht="21.75" customHeight="1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2:25" ht="21.75" customHeight="1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2:25" ht="21.75" customHeight="1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2:25" ht="21.75" customHeight="1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2:25" ht="21.75" customHeight="1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2:25" ht="21.75" customHeight="1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2:25" ht="21.75" customHeight="1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2:25" ht="21.75" customHeight="1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2:25" ht="21.75" customHeight="1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2:25" ht="21.75" customHeight="1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2:25" ht="21.75" customHeight="1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2:25" ht="21.75" customHeight="1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2:25" ht="21.75" customHeight="1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2:25" ht="21.75" customHeight="1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2:25" ht="21.75" customHeight="1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2:25" ht="21.75" customHeight="1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2:25" ht="21.75" customHeight="1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2:25" ht="21.75" customHeight="1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2:25" ht="21.75" customHeight="1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2:25" ht="21.75" customHeight="1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2:25" ht="21.75" customHeight="1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2:25" ht="21.75" customHeight="1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2:25" ht="21.75" customHeight="1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2:25" ht="21.75" customHeight="1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2:25" ht="21.75" customHeight="1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2:25" ht="21.75" customHeight="1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2:25" ht="21.75" customHeight="1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2:25" ht="21.75" customHeight="1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2:25" ht="21.75" customHeight="1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2:25" ht="21.75" customHeight="1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2:25" ht="21.75" customHeight="1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2:25" ht="21.75" customHeight="1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2:25" ht="21.75" customHeight="1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2:25" ht="21.75" customHeight="1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2:25" ht="21.75" customHeight="1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2:25" ht="21.75" customHeight="1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2:25" ht="21.75" customHeight="1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2:25" ht="21.75" customHeight="1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2:25" ht="21.75" customHeight="1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2:25" ht="21.75" customHeight="1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2:25" ht="21.75" customHeight="1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2:25" ht="21.75" customHeight="1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2:25" ht="21.75" customHeight="1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2:25" ht="21.75" customHeight="1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2:25" ht="21.75" customHeight="1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2:25" ht="21.75" customHeight="1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2:25" ht="21.75" customHeight="1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2:25" ht="21.75" customHeight="1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2:25" ht="21.75" customHeight="1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2:25" ht="21.75" customHeight="1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2:25" ht="21.75" customHeight="1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2:25" ht="21.75" customHeight="1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2:25" ht="21.75" customHeight="1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2:25" ht="21.75" customHeight="1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2:25" ht="21.75" customHeight="1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2:25" ht="21.75" customHeight="1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2:25" ht="21.75" customHeight="1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2:25" ht="21.75" customHeight="1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2:25" ht="21.75" customHeight="1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2:25" ht="21.75" customHeight="1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2:25" ht="21.75" customHeight="1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2:25" ht="21.75" customHeight="1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2:25" ht="21.75" customHeight="1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2:25" ht="21.75" customHeight="1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2:25" ht="21.75" customHeight="1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2:25" ht="21.75" customHeight="1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2:25" ht="21.75" customHeight="1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2:25" ht="21.75" customHeight="1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2:25" ht="21.75" customHeight="1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2:25" ht="21.75" customHeight="1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2:25" ht="21.75" customHeight="1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2:25" ht="21.75" customHeight="1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2:25" ht="21.75" customHeight="1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2:25" ht="21.75" customHeight="1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2:25" ht="21.75" customHeight="1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2:25" ht="21.75" customHeight="1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2:25" ht="21.75" customHeight="1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2:25" ht="21.75" customHeight="1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2:25" ht="21.75" customHeight="1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2:25" ht="21.75" customHeight="1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2:25" ht="21.75" customHeight="1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2:25" ht="21.75" customHeight="1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2:25" ht="21.75" customHeight="1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2:25" ht="21.75" customHeight="1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2:25" ht="21.75" customHeight="1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2:25" ht="21.75" customHeight="1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2:25" ht="21.75" customHeight="1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2:25" ht="21.75" customHeight="1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2:25" ht="21.75" customHeight="1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2:25" ht="21.75" customHeight="1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2:25" ht="21.75" customHeight="1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2:25" ht="21.75" customHeight="1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2:25" ht="21.75" customHeight="1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2:25" ht="21.75" customHeight="1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2:25" ht="21.75" customHeight="1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2:25" ht="21.75" customHeight="1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2:25" ht="21.75" customHeight="1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2:25" ht="21.75" customHeight="1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2:25" ht="21.75" customHeight="1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2:25" ht="21.75" customHeight="1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2:25" ht="21.75" customHeight="1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2:25" ht="21.75" customHeight="1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2:25" ht="21.75" customHeight="1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2:25" ht="21.75" customHeight="1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2:25" ht="21.75" customHeight="1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2:25" ht="21.75" customHeight="1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2:25" ht="21.75" customHeight="1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2:25" ht="21.75" customHeight="1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2:25" ht="21.75" customHeight="1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2:25" ht="21.75" customHeight="1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2:25" ht="21.75" customHeight="1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2:25" ht="21.75" customHeight="1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2:25" ht="21.75" customHeight="1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2:25" ht="21.75" customHeight="1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2:25" ht="21.75" customHeight="1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2:25" ht="21.75" customHeight="1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2:25" ht="21.75" customHeight="1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2:25" ht="21.75" customHeight="1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2:25" ht="21.75" customHeight="1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2:25" ht="21.75" customHeight="1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2:25" ht="21.75" customHeight="1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2:25" ht="21.75" customHeight="1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2:25" ht="21.75" customHeight="1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2:25" ht="21.75" customHeight="1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2:25" ht="21.75" customHeight="1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2:25" ht="21.75" customHeight="1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2:25" ht="21.75" customHeight="1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2:25" ht="21.75" customHeight="1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2:25" ht="21.75" customHeight="1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2:25" ht="21.75" customHeight="1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2:25" ht="21.75" customHeight="1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2:25" ht="21.75" customHeight="1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2:25" ht="21.75" customHeight="1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2:25" ht="21.75" customHeight="1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2:25" ht="21.75" customHeight="1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2:25" ht="21.75" customHeight="1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2:25" ht="21.75" customHeight="1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2:25" ht="21.75" customHeight="1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2:25" ht="21.75" customHeight="1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2:25" ht="21.75" customHeight="1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2:25" ht="21.75" customHeight="1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2:25" ht="21.75" customHeight="1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2:25" ht="21.75" customHeight="1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2:25" ht="21.75" customHeight="1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2:25" ht="21.75" customHeight="1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2:25" ht="21.75" customHeight="1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2:25" ht="21.75" customHeight="1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2:25" ht="21.75" customHeight="1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2:25" ht="21.75" customHeight="1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2:25" ht="21.75" customHeight="1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2:25" ht="21.75" customHeight="1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2:25" ht="21.75" customHeight="1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2:25" ht="21.75" customHeight="1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2:25" ht="21.75" customHeight="1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2:25" ht="21.75" customHeight="1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2:25" ht="21.75" customHeight="1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2:25" ht="21.75" customHeight="1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2:25" ht="21.75" customHeight="1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2:25" ht="21.75" customHeight="1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2:25" ht="21.75" customHeight="1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2:25" ht="21.75" customHeight="1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2:25" ht="21.75" customHeight="1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2:25" ht="21.75" customHeight="1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2:25" ht="21.75" customHeight="1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2:25" ht="21.75" customHeight="1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2:25" ht="21.75" customHeight="1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2:25" ht="21.75" customHeight="1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2:25" ht="21.75" customHeight="1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2:25" ht="21.75" customHeight="1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2:25" ht="21.75" customHeight="1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2:25" ht="21.75" customHeight="1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2:25" ht="21.75" customHeight="1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2:25" ht="21.75" customHeight="1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2:25" ht="21.75" customHeight="1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2:25" ht="21.75" customHeight="1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2:25" ht="21.75" customHeight="1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2:25" ht="21.75" customHeight="1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2:25" ht="21.75" customHeight="1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2:25" ht="21.75" customHeight="1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2:25" ht="21.75" customHeight="1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2:25" ht="21.75" customHeight="1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2:25" ht="21.75" customHeight="1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2:25" ht="21.75" customHeight="1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2:25" ht="21.75" customHeight="1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2:25" ht="21.75" customHeight="1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2:25" ht="21.75" customHeight="1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2:25" ht="21.75" customHeight="1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2:25" ht="21.75" customHeight="1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2:25" ht="21.75" customHeight="1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2:25" ht="21.75" customHeight="1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2:25" ht="21.75" customHeight="1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2:25" ht="21.75" customHeight="1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2:25" ht="21.75" customHeight="1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2:25" ht="21.75" customHeight="1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2:25" ht="21.75" customHeight="1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2:25" ht="21.75" customHeight="1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2:25" ht="21.75" customHeight="1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2:25" ht="21.75" customHeight="1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2:25" ht="21.75" customHeight="1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2:25" ht="21.75" customHeight="1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2:25" ht="21.75" customHeight="1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2:25" ht="21.75" customHeight="1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2:25" ht="21.75" customHeight="1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2:25" ht="21.75" customHeight="1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2:25" ht="21.75" customHeight="1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2:25" ht="21.75" customHeight="1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2:25" ht="21.75" customHeight="1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2:25" ht="21.75" customHeight="1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2:25" ht="21.75" customHeight="1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2:25" ht="21.75" customHeight="1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2:25" ht="21.75" customHeight="1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2:25" ht="21.75" customHeight="1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2:25" ht="21.75" customHeight="1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2:25" ht="21.75" customHeight="1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2:25" ht="21.75" customHeight="1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2:25" ht="21.75" customHeight="1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2:25" ht="21.75" customHeight="1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2:25" ht="21.75" customHeight="1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2:25" ht="21.75" customHeight="1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2:25" ht="21.75" customHeight="1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2:25" ht="21.75" customHeight="1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2:25" ht="21.75" customHeight="1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2:25" ht="21.75" customHeight="1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2:25" ht="21.75" customHeight="1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2:25" ht="21.75" customHeight="1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2:25" ht="21.75" customHeight="1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2:25" ht="21.75" customHeight="1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2:25" ht="21.75" customHeight="1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2:25" ht="21.75" customHeight="1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2:25" ht="21.75" customHeight="1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2:25" ht="21.75" customHeight="1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2:25" ht="21.75" customHeight="1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2:25" ht="21.75" customHeight="1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2:25" ht="21.75" customHeight="1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2:25" ht="21.75" customHeight="1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2:25" ht="21.75" customHeight="1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2:25" ht="21.75" customHeight="1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2:25" ht="21.75" customHeight="1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2:25" ht="21.75" customHeight="1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2:25" ht="21.75" customHeight="1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2:25" ht="21.75" customHeight="1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2:25" ht="21.75" customHeight="1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2:25" ht="21.75" customHeight="1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2:25" ht="21.75" customHeight="1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2:25" ht="21.75" customHeight="1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2:25" ht="21.75" customHeight="1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2:25" ht="21.75" customHeight="1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2:25" ht="21.75" customHeight="1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2:25" ht="21.75" customHeight="1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2:25" ht="21.75" customHeight="1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2:25" ht="21.75" customHeight="1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2:25" ht="21.75" customHeight="1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2:25" ht="21.75" customHeight="1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2:25" ht="21.75" customHeight="1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2:25" ht="21.75" customHeight="1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2:25" ht="21.75" customHeight="1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2:25" ht="21.75" customHeight="1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2:25" ht="21.75" customHeight="1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2:25" ht="21.75" customHeight="1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2:25" ht="21.75" customHeight="1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2:25" ht="21.75" customHeight="1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2:25" ht="21.75" customHeight="1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2:25" ht="21.75" customHeight="1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2:25" ht="21.75" customHeight="1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2:25" ht="21.75" customHeight="1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2:25" ht="21.75" customHeight="1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2:25" ht="21.75" customHeight="1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2:25" ht="21.75" customHeight="1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2:25" ht="21.75" customHeight="1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2:25" ht="21.75" customHeight="1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2:25" ht="21.75" customHeight="1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2:25" ht="21.75" customHeight="1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2:25" ht="21.75" customHeight="1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2:25" ht="21.75" customHeight="1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2:25" ht="21.75" customHeight="1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2:25" ht="21.75" customHeight="1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2:25" ht="21.75" customHeight="1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2:25" ht="21.75" customHeight="1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2:25" ht="21.75" customHeight="1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2:25" ht="21.75" customHeight="1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2:25" ht="21.75" customHeight="1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2:25" ht="21.75" customHeight="1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2:25" ht="21.75" customHeight="1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2:25" ht="21.75" customHeight="1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2:25" ht="21.75" customHeight="1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2:25" ht="21.75" customHeight="1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2:25" ht="21.75" customHeight="1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2:25" ht="21.75" customHeight="1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2:25" ht="21.75" customHeight="1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2:25" ht="21.75" customHeight="1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2:25" ht="21.75" customHeight="1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2:25" ht="21.75" customHeight="1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2:25" ht="21.75" customHeight="1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2:25" ht="21.75" customHeight="1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2:25" ht="21.75" customHeight="1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2:25" ht="21.75" customHeight="1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2:25" ht="21.75" customHeight="1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2:25" ht="21.75" customHeight="1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2:25" ht="21.75" customHeight="1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2:25" ht="21.75" customHeight="1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2:25" ht="21.75" customHeight="1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2:25" ht="21.75" customHeight="1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2:25" ht="21.75" customHeight="1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2:25" ht="21.75" customHeight="1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2:25" ht="21.75" customHeight="1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2:25" ht="21.75" customHeight="1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2:25" ht="21.75" customHeight="1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2:25" ht="21.75" customHeight="1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2:25" ht="21.75" customHeight="1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2:25" ht="21.75" customHeight="1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2:25" ht="21.75" customHeight="1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2:25" ht="21.75" customHeight="1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2:25" ht="21.75" customHeight="1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2:25" ht="21.75" customHeight="1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2:25" ht="21.75" customHeight="1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2:25" ht="21.75" customHeight="1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2:25" ht="21.75" customHeight="1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2:25" ht="21.75" customHeight="1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2:25" ht="21.75" customHeight="1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2:25" ht="21.75" customHeight="1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2:25" ht="21.75" customHeight="1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2:25" ht="21.75" customHeight="1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2:25" ht="21.75" customHeight="1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2:25" ht="21.75" customHeight="1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2:25" ht="21.75" customHeight="1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2:25" ht="21.75" customHeight="1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2:25" ht="21.75" customHeight="1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2:25" ht="21.75" customHeight="1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2:25" ht="21.75" customHeight="1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2:25" ht="21.75" customHeight="1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2:25" ht="21.75" customHeight="1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2:25" ht="21.75" customHeight="1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2:25" ht="21.75" customHeight="1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2:25" ht="21.75" customHeight="1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2:25" ht="21.75" customHeight="1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2:25" ht="21.75" customHeight="1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2:25" ht="21.75" customHeight="1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2:25" ht="21.75" customHeight="1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2:25" ht="21.75" customHeight="1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2:25" ht="21.75" customHeight="1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2:25" ht="21.75" customHeight="1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2:25" ht="21.75" customHeight="1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2:25" ht="21.75" customHeight="1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2:25" ht="21.75" customHeight="1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2:25" ht="21.75" customHeight="1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2:25" ht="21.75" customHeight="1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2:25" ht="21.75" customHeight="1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2:25" ht="21.75" customHeight="1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2:25" ht="21.75" customHeight="1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2:25" ht="21.75" customHeight="1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2:25" ht="21.75" customHeight="1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2:25" ht="21.75" customHeight="1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2:25" ht="21.75" customHeight="1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2:25" ht="21.75" customHeight="1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2:25" ht="21.75" customHeight="1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2:25" ht="21.75" customHeight="1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2:25" ht="21.75" customHeight="1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2:25" ht="21.75" customHeight="1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2:25" ht="21.75" customHeight="1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2:25" ht="21.75" customHeight="1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2:25" ht="21.75" customHeight="1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2:25" ht="21.75" customHeight="1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2:25" ht="21.75" customHeight="1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2:25" ht="21.75" customHeight="1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2:25" ht="21.75" customHeight="1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2:25" ht="21.75" customHeight="1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2:25" ht="21.75" customHeight="1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2:25" ht="21.75" customHeight="1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2:25" ht="21.75" customHeight="1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2:25" ht="21.75" customHeight="1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2:25" ht="21.75" customHeight="1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2:25" ht="21.75" customHeight="1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2:25" ht="21.75" customHeight="1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2:25" ht="21.75" customHeight="1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2:25" ht="21.75" customHeight="1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2:25" ht="21.75" customHeight="1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2:25" ht="21.75" customHeight="1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2:25" ht="21.75" customHeight="1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2:25" ht="21.75" customHeight="1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2:25" ht="21.75" customHeight="1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2:25" ht="21.75" customHeight="1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2:25" ht="21.75" customHeight="1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2:25" ht="21.75" customHeight="1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2:25" ht="21.75" customHeight="1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2:25" ht="21.75" customHeight="1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2:25" ht="21.75" customHeight="1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2:25" ht="21.75" customHeight="1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2:25" ht="21.75" customHeight="1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2:25" ht="21.75" customHeight="1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2:25" ht="21.75" customHeight="1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2:25" ht="21.75" customHeight="1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2:25" ht="21.75" customHeight="1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2:25" ht="21.75" customHeight="1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2:25" ht="21.75" customHeight="1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2:25" ht="21.75" customHeight="1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2:25" ht="21.75" customHeight="1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2:25" ht="21.75" customHeight="1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2:25" ht="21.75" customHeight="1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2:25" ht="21.75" customHeight="1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2:25" ht="21.75" customHeight="1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2:25" ht="21.75" customHeight="1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2:25" ht="21.75" customHeight="1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2:25" ht="21.75" customHeight="1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2:25" ht="21.75" customHeight="1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2:25" ht="21.75" customHeight="1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2:25" ht="21.75" customHeight="1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2:25" ht="21.75" customHeight="1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2:25" ht="21.75" customHeight="1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2:25" ht="21.75" customHeight="1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2:25" ht="21.75" customHeight="1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2:25" ht="21.75" customHeight="1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2:25" ht="21.75" customHeight="1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2:25" ht="21.75" customHeight="1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2:25" ht="21.75" customHeight="1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2:25" ht="21.75" customHeight="1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2:25" ht="21.75" customHeight="1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2:25" ht="21.75" customHeight="1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2:25" ht="21.75" customHeight="1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2:25" ht="21.75" customHeight="1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2:25" ht="21.75" customHeight="1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2:25" ht="21.75" customHeight="1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2:25" ht="21.75" customHeight="1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2:25" ht="21.75" customHeight="1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2:25" ht="21.75" customHeight="1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2:25" ht="21.75" customHeight="1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2:25" ht="21.75" customHeight="1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2:25" ht="21.75" customHeight="1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2:25" ht="21.75" customHeight="1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2:25" ht="21.75" customHeight="1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2:25" ht="21.75" customHeight="1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2:25" ht="21.75" customHeight="1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2:25" ht="21.75" customHeight="1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2:25" ht="21.75" customHeight="1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2:25" ht="21.75" customHeight="1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2:25" ht="21.75" customHeight="1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2:25" ht="21.75" customHeight="1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2:25" ht="21.75" customHeight="1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2:25" ht="21.75" customHeight="1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2:25" ht="21.75" customHeight="1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2:25" ht="21.75" customHeight="1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2:25" ht="21.75" customHeight="1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2:25" ht="21.75" customHeight="1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2:25" ht="21.75" customHeight="1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2:25" ht="21.75" customHeight="1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2:25" ht="21.75" customHeight="1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2:25" ht="21.75" customHeight="1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2:25" ht="21.75" customHeight="1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2:25" ht="21.75" customHeight="1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2:25" ht="21.75" customHeight="1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2:25" ht="21.75" customHeight="1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2:25" ht="21.75" customHeight="1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2:25" ht="21.75" customHeight="1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2:25" ht="21.75" customHeight="1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2:25" ht="21.75" customHeight="1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2:25" ht="21.75" customHeight="1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2:25" ht="21.75" customHeight="1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2:25" ht="21.75" customHeight="1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2:25" ht="21.75" customHeight="1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2:25" ht="21.75" customHeight="1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2:25" ht="21.75" customHeight="1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2:25" ht="21.75" customHeight="1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2:25" ht="21.75" customHeight="1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2:25" ht="21.75" customHeight="1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2:25" ht="21.75" customHeight="1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2:25" ht="21.75" customHeight="1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2:25" ht="21.75" customHeight="1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2:25" ht="21.75" customHeight="1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2:25" ht="21.75" customHeight="1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2:25" ht="21.75" customHeight="1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2:25" ht="21.75" customHeight="1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2:25" ht="21.75" customHeight="1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2:25" ht="21.75" customHeight="1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2:25" ht="21.75" customHeight="1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2:25" ht="21.75" customHeight="1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2:25" ht="21.75" customHeight="1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2:25" ht="21.75" customHeight="1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2:25" ht="21.75" customHeight="1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2:25" ht="21.75" customHeight="1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2:25" ht="21.75" customHeight="1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2:25" ht="21.75" customHeight="1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2:25" ht="21.75" customHeight="1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2:25" ht="21.75" customHeight="1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2:25" ht="21.75" customHeight="1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2:25" ht="21.75" customHeight="1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2:25" ht="21.75" customHeight="1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2:25" ht="21.75" customHeight="1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2:25" ht="21.75" customHeight="1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2:25" ht="21.75" customHeight="1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2:25" ht="21.75" customHeight="1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2:25" ht="21.75" customHeight="1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2:25" ht="21.75" customHeight="1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2:25" ht="21.75" customHeight="1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2:25" ht="21.75" customHeight="1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2:25" ht="21.75" customHeight="1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2:25" ht="21.75" customHeight="1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2:25" ht="21.75" customHeight="1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2:25" ht="21.75" customHeight="1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2:25" ht="21.75" customHeight="1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2:25" ht="21.75" customHeight="1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2:25" ht="21.75" customHeight="1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2:25" ht="21.75" customHeight="1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2:25" ht="21.75" customHeight="1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2:25" ht="21.75" customHeight="1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2:25" ht="21.75" customHeight="1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2:25" ht="21.75" customHeight="1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2:25" ht="21.75" customHeight="1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2:25" ht="21.75" customHeight="1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2:25" ht="21.75" customHeight="1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2:25" ht="21.75" customHeight="1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2:25" ht="21.75" customHeight="1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2:25" ht="21.75" customHeight="1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2:25" ht="21.75" customHeight="1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2:25" ht="21.75" customHeight="1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2:25" ht="21.75" customHeight="1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2:25" ht="21.75" customHeight="1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2:25" ht="21.75" customHeight="1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2:25" ht="21.75" customHeight="1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2:25" ht="21.75" customHeight="1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2:25" ht="21.75" customHeight="1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2:25" ht="21.75" customHeight="1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2:25" ht="21.75" customHeight="1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2:25" ht="21.75" customHeight="1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2:25" ht="21.75" customHeight="1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2:25" ht="21.75" customHeight="1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2:25" ht="21.75" customHeight="1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2:25" ht="21.75" customHeight="1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2:25" ht="21.75" customHeight="1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2:25" ht="21.75" customHeight="1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2:25" ht="21.75" customHeight="1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2:25" ht="21.75" customHeight="1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2:25" ht="21.75" customHeight="1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2:25" ht="21.75" customHeight="1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2:25" ht="21.75" customHeight="1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2:25" ht="21.75" customHeight="1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2:25" ht="21.75" customHeight="1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2:25" ht="21.75" customHeight="1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2:25" ht="21.75" customHeight="1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2:25" ht="21.75" customHeight="1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2:25" ht="21.75" customHeight="1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2:25" ht="21.75" customHeight="1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2:25" ht="21.75" customHeight="1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2:25" ht="21.75" customHeight="1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2:25" ht="21.75" customHeight="1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2:25" ht="21.75" customHeight="1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2:25" ht="21.75" customHeight="1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2:25" ht="21.75" customHeight="1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2:25" ht="21.75" customHeight="1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2:25" ht="21.75" customHeight="1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2:25" ht="21.75" customHeight="1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2:25" ht="21.75" customHeight="1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2:25" ht="21.75" customHeight="1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2:25" ht="21.75" customHeight="1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2:25" ht="21.75" customHeight="1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2:25" ht="21.75" customHeight="1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2:25" ht="21.75" customHeight="1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2:25" ht="21.75" customHeight="1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2:25" ht="21.75" customHeight="1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2:25" ht="21.75" customHeight="1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2:25" ht="21.75" customHeight="1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2:25" ht="21.75" customHeight="1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2:25" ht="21.75" customHeight="1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2:25" ht="21.75" customHeight="1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2:25" ht="21.75" customHeight="1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2:25" ht="21.75" customHeight="1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2:25" ht="21.75" customHeight="1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2:25" ht="21.75" customHeight="1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2:25" ht="21.75" customHeight="1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2:25" ht="21.75" customHeight="1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2:25" ht="21.75" customHeight="1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2:25" ht="21.75" customHeight="1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2:25" ht="21.75" customHeight="1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2:25" ht="21.75" customHeight="1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2:25" ht="21.75" customHeight="1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2:25" ht="21.75" customHeight="1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2:25" ht="21.75" customHeight="1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2:25" ht="21.75" customHeight="1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2:25" ht="21.75" customHeight="1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2:25" ht="21.75" customHeight="1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2:25" ht="21.75" customHeight="1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2:25" ht="21.75" customHeight="1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2:25" ht="21.75" customHeight="1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2:25" ht="21.75" customHeight="1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2:25" ht="21.75" customHeight="1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2:25" ht="21.75" customHeight="1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2:25" ht="21.75" customHeight="1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2:25" ht="21.75" customHeight="1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2:25" ht="21.75" customHeight="1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2:25" ht="21.75" customHeight="1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2:25" ht="21.75" customHeight="1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2:25" ht="21.75" customHeight="1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2:25" ht="21.75" customHeight="1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2:25" ht="21.75" customHeight="1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2:25" ht="21.75" customHeight="1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2:25" ht="21.75" customHeight="1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2:25" ht="21.75" customHeight="1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2:25" ht="21.75" customHeight="1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2:25" ht="21.75" customHeight="1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2:25" ht="21.75" customHeight="1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2:25" ht="21.75" customHeight="1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2:25" ht="21.75" customHeight="1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2:25" ht="21.75" customHeight="1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2:25" ht="21.75" customHeight="1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sheetProtection algorithmName="SHA-512" hashValue="5x82ZaSqalaNXjstlSD1SmBLULupqsO+CEhhmgouq2mNbOfemphHDejdQ67Fhum6AGbKzbDeBL9yvzlKuDiXLw==" saltValue="8fICQ/rG1xhA+5qEAWybvg==" spinCount="100000" sheet="1" objects="1" scenarios="1"/>
  <mergeCells count="50">
    <mergeCell ref="R35:T35"/>
    <mergeCell ref="R36:T36"/>
    <mergeCell ref="R37:T37"/>
    <mergeCell ref="W17:Y17"/>
    <mergeCell ref="W18:Y18"/>
    <mergeCell ref="W19:Y19"/>
    <mergeCell ref="W20:Y20"/>
    <mergeCell ref="R31:T31"/>
    <mergeCell ref="R32:T32"/>
    <mergeCell ref="R33:T33"/>
    <mergeCell ref="Q1:T1"/>
    <mergeCell ref="Q2:T2"/>
    <mergeCell ref="Q3:T3"/>
    <mergeCell ref="V3:Y3"/>
    <mergeCell ref="B1:E1"/>
    <mergeCell ref="G1:J1"/>
    <mergeCell ref="L1:O1"/>
    <mergeCell ref="V1:Y1"/>
    <mergeCell ref="G2:J2"/>
    <mergeCell ref="L2:O2"/>
    <mergeCell ref="V2:Y2"/>
    <mergeCell ref="B2:E2"/>
    <mergeCell ref="B3:E3"/>
    <mergeCell ref="G3:J3"/>
    <mergeCell ref="L3:O3"/>
    <mergeCell ref="H13:J13"/>
    <mergeCell ref="H14:J14"/>
    <mergeCell ref="M14:O14"/>
    <mergeCell ref="H11:J11"/>
    <mergeCell ref="H12:J12"/>
    <mergeCell ref="M13:O13"/>
    <mergeCell ref="W14:Y14"/>
    <mergeCell ref="H15:J15"/>
    <mergeCell ref="W15:Y15"/>
    <mergeCell ref="W16:Y16"/>
    <mergeCell ref="C34:E34"/>
    <mergeCell ref="M17:O17"/>
    <mergeCell ref="M18:O18"/>
    <mergeCell ref="M19:O19"/>
    <mergeCell ref="M15:O15"/>
    <mergeCell ref="M16:O16"/>
    <mergeCell ref="R34:T34"/>
    <mergeCell ref="C35:E35"/>
    <mergeCell ref="H16:J16"/>
    <mergeCell ref="H17:J17"/>
    <mergeCell ref="C29:E29"/>
    <mergeCell ref="C30:E30"/>
    <mergeCell ref="C31:E31"/>
    <mergeCell ref="C32:E32"/>
    <mergeCell ref="C33:E33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2920C-7730-412C-AB05-9F8BB94EE227}">
  <sheetPr codeName="Hoja2"/>
  <dimension ref="B2:B6"/>
  <sheetViews>
    <sheetView showGridLines="0" showRowColHeaders="0" workbookViewId="0">
      <selection activeCell="G6" sqref="G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9.140625" defaultRowHeight="14.45"/>
  <sheetData>
    <row r="2" spans="2:2">
      <c r="B2" t="s">
        <v>100</v>
      </c>
    </row>
    <row r="3" spans="2:2">
      <c r="B3" t="s">
        <v>101</v>
      </c>
    </row>
    <row r="4" spans="2:2">
      <c r="B4" t="s">
        <v>102</v>
      </c>
    </row>
    <row r="5" spans="2:2">
      <c r="B5" t="s">
        <v>103</v>
      </c>
    </row>
    <row r="6" spans="2:2">
      <c r="B6" t="s">
        <v>104</v>
      </c>
    </row>
  </sheetData>
  <sheetProtection algorithmName="SHA-512" hashValue="F+5wi5pMRO8hjZpZ4M/OkCoCeIYXskZqZ+78o4kfQQUj7umBLBJJOpUTw3+utQAIacEVKIGxRmgp2TFu78Sb+w==" saltValue="NoEZZduR73HRWZvorf6AHg==" spinCount="100000" sheet="1" objects="1" scenarios="1" selectLockedCells="1" selectUn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5811E-3851-47E8-B81E-00DD755AB8DB}">
  <dimension ref="H6:J52"/>
  <sheetViews>
    <sheetView zoomScale="121" zoomScaleNormal="70" workbookViewId="0">
      <selection activeCell="H12" sqref="H12"/>
    </sheetView>
  </sheetViews>
  <sheetFormatPr defaultColWidth="11.42578125" defaultRowHeight="14.45"/>
  <cols>
    <col min="1" max="1" width="16.5703125" bestFit="1" customWidth="1"/>
    <col min="2" max="2" width="22.85546875" bestFit="1" customWidth="1"/>
    <col min="3" max="3" width="44.7109375" customWidth="1"/>
    <col min="4" max="4" width="21" customWidth="1"/>
    <col min="5" max="5" width="65.5703125" customWidth="1"/>
    <col min="6" max="6" width="59.5703125" customWidth="1"/>
    <col min="7" max="7" width="58" customWidth="1"/>
    <col min="8" max="8" width="27.7109375" bestFit="1" customWidth="1"/>
    <col min="9" max="9" width="23.140625" bestFit="1" customWidth="1"/>
    <col min="10" max="10" width="30.140625" bestFit="1" customWidth="1"/>
  </cols>
  <sheetData>
    <row r="6" spans="8:10">
      <c r="H6" s="91" t="s">
        <v>105</v>
      </c>
      <c r="I6" t="s">
        <v>106</v>
      </c>
      <c r="J6" t="s">
        <v>107</v>
      </c>
    </row>
    <row r="7" spans="8:10">
      <c r="H7" s="92" t="s">
        <v>108</v>
      </c>
      <c r="I7" s="94">
        <v>20000000</v>
      </c>
      <c r="J7" s="94">
        <v>20000000</v>
      </c>
    </row>
    <row r="8" spans="8:10">
      <c r="H8" s="93" t="s">
        <v>109</v>
      </c>
      <c r="I8" s="94">
        <v>20000000</v>
      </c>
      <c r="J8" s="94">
        <v>20000000</v>
      </c>
    </row>
    <row r="9" spans="8:10">
      <c r="H9" s="95" t="s">
        <v>108</v>
      </c>
      <c r="I9" s="94">
        <v>20000000</v>
      </c>
      <c r="J9" s="94">
        <v>20000000</v>
      </c>
    </row>
    <row r="10" spans="8:10">
      <c r="H10" s="92" t="s">
        <v>0</v>
      </c>
      <c r="I10" s="94">
        <v>245000000</v>
      </c>
      <c r="J10" s="94">
        <v>285034863</v>
      </c>
    </row>
    <row r="11" spans="8:10">
      <c r="H11" s="93" t="s">
        <v>110</v>
      </c>
      <c r="I11" s="94">
        <v>15000000</v>
      </c>
      <c r="J11" s="94">
        <v>17000000</v>
      </c>
    </row>
    <row r="12" spans="8:10">
      <c r="H12" s="95" t="s">
        <v>111</v>
      </c>
      <c r="I12" s="94">
        <v>15000000</v>
      </c>
      <c r="J12" s="94">
        <v>17000000</v>
      </c>
    </row>
    <row r="13" spans="8:10">
      <c r="H13" s="93" t="s">
        <v>109</v>
      </c>
      <c r="I13" s="94">
        <v>230000000</v>
      </c>
      <c r="J13" s="94">
        <v>268034863</v>
      </c>
    </row>
    <row r="14" spans="8:10">
      <c r="H14" s="95" t="s">
        <v>112</v>
      </c>
      <c r="I14" s="94">
        <v>50000000</v>
      </c>
      <c r="J14" s="94">
        <v>76000000</v>
      </c>
    </row>
    <row r="15" spans="8:10">
      <c r="H15" s="95" t="s">
        <v>113</v>
      </c>
      <c r="I15" s="94">
        <v>110000000</v>
      </c>
      <c r="J15" s="94">
        <v>117420000</v>
      </c>
    </row>
    <row r="16" spans="8:10">
      <c r="H16" s="95" t="s">
        <v>114</v>
      </c>
      <c r="I16" s="94">
        <v>40000000</v>
      </c>
      <c r="J16" s="94">
        <v>42014863</v>
      </c>
    </row>
    <row r="17" spans="8:10">
      <c r="H17" s="95" t="s">
        <v>115</v>
      </c>
      <c r="I17" s="94">
        <v>30000000</v>
      </c>
      <c r="J17" s="94">
        <v>32600000</v>
      </c>
    </row>
    <row r="18" spans="8:10">
      <c r="H18" s="92" t="s">
        <v>1</v>
      </c>
      <c r="I18" s="94">
        <v>141489172</v>
      </c>
      <c r="J18" s="94">
        <v>214444200</v>
      </c>
    </row>
    <row r="19" spans="8:10">
      <c r="H19" s="93" t="s">
        <v>109</v>
      </c>
      <c r="I19" s="94">
        <v>71489172</v>
      </c>
      <c r="J19" s="94">
        <v>144444200</v>
      </c>
    </row>
    <row r="20" spans="8:10">
      <c r="H20" s="95" t="s">
        <v>116</v>
      </c>
      <c r="I20" s="94">
        <v>42050587</v>
      </c>
      <c r="J20" s="94">
        <v>60000000</v>
      </c>
    </row>
    <row r="21" spans="8:10">
      <c r="H21" s="95" t="s">
        <v>117</v>
      </c>
      <c r="I21" s="94">
        <v>29438585</v>
      </c>
      <c r="J21" s="94">
        <v>84444200</v>
      </c>
    </row>
    <row r="22" spans="8:10">
      <c r="H22" s="93" t="s">
        <v>118</v>
      </c>
      <c r="I22" s="94">
        <v>70000000</v>
      </c>
      <c r="J22" s="94">
        <v>70000000</v>
      </c>
    </row>
    <row r="23" spans="8:10">
      <c r="H23" s="95" t="s">
        <v>119</v>
      </c>
      <c r="I23" s="94">
        <v>70000000</v>
      </c>
      <c r="J23" s="94">
        <v>70000000</v>
      </c>
    </row>
    <row r="24" spans="8:10">
      <c r="H24" s="92" t="s">
        <v>2</v>
      </c>
      <c r="I24" s="94">
        <v>180000000</v>
      </c>
      <c r="J24" s="94">
        <v>189503340</v>
      </c>
    </row>
    <row r="25" spans="8:10">
      <c r="H25" s="93" t="s">
        <v>110</v>
      </c>
      <c r="I25" s="94">
        <v>5000000</v>
      </c>
      <c r="J25" s="94">
        <v>5500000</v>
      </c>
    </row>
    <row r="26" spans="8:10">
      <c r="H26" s="95" t="s">
        <v>120</v>
      </c>
      <c r="I26" s="94">
        <v>5000000</v>
      </c>
      <c r="J26" s="94">
        <v>5500000</v>
      </c>
    </row>
    <row r="27" spans="8:10">
      <c r="H27" s="93" t="s">
        <v>109</v>
      </c>
      <c r="I27" s="94">
        <v>125000000</v>
      </c>
      <c r="J27" s="94">
        <v>133317280</v>
      </c>
    </row>
    <row r="28" spans="8:10">
      <c r="H28" s="95" t="s">
        <v>121</v>
      </c>
      <c r="I28" s="94">
        <v>30000000</v>
      </c>
      <c r="J28" s="94">
        <v>30000000</v>
      </c>
    </row>
    <row r="29" spans="8:10">
      <c r="H29" s="95" t="s">
        <v>122</v>
      </c>
      <c r="I29" s="94">
        <v>40000000</v>
      </c>
      <c r="J29" s="94">
        <v>46437280</v>
      </c>
    </row>
    <row r="30" spans="8:10">
      <c r="H30" s="95" t="s">
        <v>123</v>
      </c>
      <c r="I30" s="94">
        <v>15000000</v>
      </c>
      <c r="J30" s="94">
        <v>16880000</v>
      </c>
    </row>
    <row r="31" spans="8:10">
      <c r="H31" s="95" t="s">
        <v>124</v>
      </c>
      <c r="I31" s="94">
        <v>40000000</v>
      </c>
      <c r="J31" s="94">
        <v>40000000</v>
      </c>
    </row>
    <row r="32" spans="8:10">
      <c r="H32" s="93" t="s">
        <v>118</v>
      </c>
      <c r="I32" s="94">
        <v>50000000</v>
      </c>
      <c r="J32" s="94">
        <v>50686060</v>
      </c>
    </row>
    <row r="33" spans="8:10">
      <c r="H33" s="95" t="s">
        <v>125</v>
      </c>
      <c r="I33" s="94">
        <v>50000000</v>
      </c>
      <c r="J33" s="94">
        <v>50686060</v>
      </c>
    </row>
    <row r="34" spans="8:10">
      <c r="H34" s="92" t="s">
        <v>3</v>
      </c>
      <c r="I34" s="94">
        <v>168000000</v>
      </c>
      <c r="J34" s="94">
        <v>161857700</v>
      </c>
    </row>
    <row r="35" spans="8:10">
      <c r="H35" s="93" t="s">
        <v>110</v>
      </c>
      <c r="I35" s="94">
        <v>123000000</v>
      </c>
      <c r="J35" s="94">
        <v>123577700</v>
      </c>
    </row>
    <row r="36" spans="8:10">
      <c r="H36" s="95" t="s">
        <v>126</v>
      </c>
      <c r="I36" s="94">
        <v>23000000</v>
      </c>
      <c r="J36" s="94">
        <v>23577700</v>
      </c>
    </row>
    <row r="37" spans="8:10">
      <c r="H37" s="95" t="s">
        <v>127</v>
      </c>
      <c r="I37" s="94">
        <v>100000000</v>
      </c>
      <c r="J37" s="94">
        <v>100000000</v>
      </c>
    </row>
    <row r="38" spans="8:10">
      <c r="H38" s="93" t="s">
        <v>109</v>
      </c>
      <c r="I38" s="94">
        <v>45000000</v>
      </c>
      <c r="J38" s="94">
        <v>38280000</v>
      </c>
    </row>
    <row r="39" spans="8:10">
      <c r="H39" s="95" t="s">
        <v>126</v>
      </c>
      <c r="I39" s="94">
        <v>45000000</v>
      </c>
      <c r="J39" s="94">
        <v>38280000</v>
      </c>
    </row>
    <row r="40" spans="8:10">
      <c r="H40" s="92" t="s">
        <v>4</v>
      </c>
      <c r="I40" s="94">
        <v>286700000</v>
      </c>
      <c r="J40" s="94">
        <v>288164200</v>
      </c>
    </row>
    <row r="41" spans="8:10">
      <c r="H41" s="93" t="s">
        <v>110</v>
      </c>
      <c r="I41" s="94">
        <v>20000000</v>
      </c>
      <c r="J41" s="94">
        <v>18000000</v>
      </c>
    </row>
    <row r="42" spans="8:10">
      <c r="H42" s="95" t="s">
        <v>128</v>
      </c>
      <c r="I42" s="94">
        <v>20000000</v>
      </c>
      <c r="J42" s="94">
        <v>18000000</v>
      </c>
    </row>
    <row r="43" spans="8:10">
      <c r="H43" s="93" t="s">
        <v>109</v>
      </c>
      <c r="I43" s="94">
        <v>218700000</v>
      </c>
      <c r="J43" s="94">
        <v>222164200</v>
      </c>
    </row>
    <row r="44" spans="8:10">
      <c r="H44" s="95" t="s">
        <v>128</v>
      </c>
      <c r="I44" s="94">
        <v>138000000</v>
      </c>
      <c r="J44" s="94">
        <v>158500000</v>
      </c>
    </row>
    <row r="45" spans="8:10">
      <c r="H45" s="95" t="s">
        <v>129</v>
      </c>
      <c r="I45" s="94">
        <v>45700000</v>
      </c>
      <c r="J45" s="94">
        <v>24664200</v>
      </c>
    </row>
    <row r="46" spans="8:10">
      <c r="H46" s="95" t="s">
        <v>130</v>
      </c>
      <c r="I46" s="94">
        <v>35000000</v>
      </c>
      <c r="J46" s="94">
        <v>39000000</v>
      </c>
    </row>
    <row r="47" spans="8:10">
      <c r="H47" s="93" t="s">
        <v>118</v>
      </c>
      <c r="I47" s="94">
        <v>48000000</v>
      </c>
      <c r="J47" s="94">
        <v>48000000</v>
      </c>
    </row>
    <row r="48" spans="8:10">
      <c r="H48" s="95" t="s">
        <v>129</v>
      </c>
      <c r="I48" s="94">
        <v>48000000</v>
      </c>
      <c r="J48" s="94">
        <v>48000000</v>
      </c>
    </row>
    <row r="49" spans="8:10">
      <c r="H49" s="92" t="s">
        <v>131</v>
      </c>
      <c r="I49" s="94">
        <v>220000000</v>
      </c>
      <c r="J49" s="94">
        <v>220000000</v>
      </c>
    </row>
    <row r="50" spans="8:10">
      <c r="H50" s="93" t="s">
        <v>109</v>
      </c>
      <c r="I50" s="94">
        <v>220000000</v>
      </c>
      <c r="J50" s="94">
        <v>220000000</v>
      </c>
    </row>
    <row r="51" spans="8:10">
      <c r="H51" s="95" t="s">
        <v>131</v>
      </c>
      <c r="I51" s="94">
        <v>220000000</v>
      </c>
      <c r="J51" s="94">
        <v>220000000</v>
      </c>
    </row>
    <row r="52" spans="8:10">
      <c r="H52" s="92" t="s">
        <v>132</v>
      </c>
      <c r="I52" s="94">
        <v>1261189172</v>
      </c>
      <c r="J52" s="94">
        <v>1379004303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 filterMode="1">
    <pageSetUpPr fitToPage="1"/>
  </sheetPr>
  <dimension ref="A1:AM146"/>
  <sheetViews>
    <sheetView tabSelected="1" topLeftCell="O1" zoomScale="55" zoomScaleNormal="55" workbookViewId="0">
      <selection activeCell="AR5" sqref="AR5"/>
    </sheetView>
  </sheetViews>
  <sheetFormatPr defaultColWidth="9.140625" defaultRowHeight="30" customHeight="1"/>
  <cols>
    <col min="1" max="1" width="17.85546875" style="136" customWidth="1"/>
    <col min="2" max="2" width="21.7109375" style="136" customWidth="1"/>
    <col min="3" max="3" width="22.7109375" style="136" customWidth="1"/>
    <col min="4" max="4" width="29.5703125" style="167" customWidth="1"/>
    <col min="5" max="5" width="45.28515625" style="136" customWidth="1"/>
    <col min="6" max="6" width="11.5703125" style="136" customWidth="1"/>
    <col min="7" max="7" width="11.7109375" style="136" customWidth="1"/>
    <col min="8" max="8" width="68.85546875" style="136" customWidth="1"/>
    <col min="9" max="9" width="10" style="137" customWidth="1"/>
    <col min="10" max="10" width="66.28515625" style="136" customWidth="1"/>
    <col min="11" max="11" width="9" style="137" customWidth="1"/>
    <col min="12" max="12" width="61.85546875" style="136" customWidth="1"/>
    <col min="13" max="13" width="9.28515625" style="137" customWidth="1"/>
    <col min="14" max="14" width="17" style="136" customWidth="1"/>
    <col min="15" max="15" width="24" style="136" customWidth="1"/>
    <col min="16" max="16" width="14.42578125" style="136" customWidth="1"/>
    <col min="17" max="17" width="13.5703125" style="136" customWidth="1"/>
    <col min="18" max="18" width="16.5703125" style="136" customWidth="1"/>
    <col min="19" max="19" width="8" style="136" customWidth="1"/>
    <col min="20" max="20" width="10.5703125" style="136" customWidth="1"/>
    <col min="21" max="21" width="10.85546875" style="136" customWidth="1"/>
    <col min="22" max="22" width="18.5703125" style="136" customWidth="1"/>
    <col min="23" max="23" width="18.140625" style="138" customWidth="1"/>
    <col min="24" max="33" width="2.28515625" style="85" hidden="1" customWidth="1"/>
    <col min="34" max="34" width="12.5703125" style="85" hidden="1" customWidth="1"/>
    <col min="35" max="35" width="9.140625" style="85" hidden="1" customWidth="1"/>
    <col min="36" max="36" width="0" style="85" hidden="1" customWidth="1"/>
    <col min="37" max="37" width="25.28515625" style="136" customWidth="1"/>
    <col min="38" max="38" width="9.140625" style="136"/>
    <col min="39" max="39" width="20.85546875" style="136" customWidth="1"/>
    <col min="40" max="16384" width="9.140625" style="136"/>
  </cols>
  <sheetData>
    <row r="1" spans="1:36" ht="44.1" customHeight="1">
      <c r="A1" s="97" t="s">
        <v>133</v>
      </c>
      <c r="B1" s="97" t="s">
        <v>134</v>
      </c>
      <c r="C1" s="97" t="s">
        <v>135</v>
      </c>
      <c r="D1" s="143" t="s">
        <v>136</v>
      </c>
      <c r="E1" s="97" t="s">
        <v>137</v>
      </c>
      <c r="F1" s="97" t="s">
        <v>138</v>
      </c>
      <c r="G1" s="97" t="s">
        <v>139</v>
      </c>
      <c r="H1" s="97" t="s">
        <v>62</v>
      </c>
      <c r="I1" s="97" t="s">
        <v>140</v>
      </c>
      <c r="J1" s="97" t="s">
        <v>65</v>
      </c>
      <c r="K1" s="97" t="s">
        <v>141</v>
      </c>
      <c r="L1" s="97" t="s">
        <v>68</v>
      </c>
      <c r="M1" s="97" t="s">
        <v>142</v>
      </c>
      <c r="N1" s="97" t="s">
        <v>9</v>
      </c>
      <c r="O1" s="97" t="s">
        <v>49</v>
      </c>
      <c r="P1" s="97" t="s">
        <v>143</v>
      </c>
      <c r="Q1" s="97" t="s">
        <v>56</v>
      </c>
      <c r="R1" s="97" t="s">
        <v>6</v>
      </c>
      <c r="S1" s="97" t="s">
        <v>144</v>
      </c>
      <c r="T1" s="97" t="s">
        <v>145</v>
      </c>
      <c r="U1" s="97" t="s">
        <v>146</v>
      </c>
      <c r="V1" s="97" t="s">
        <v>147</v>
      </c>
      <c r="W1" s="144" t="s">
        <v>148</v>
      </c>
      <c r="X1" s="85" t="s">
        <v>149</v>
      </c>
      <c r="Y1" s="85" t="s">
        <v>150</v>
      </c>
      <c r="Z1" s="85" t="s">
        <v>151</v>
      </c>
      <c r="AA1" s="87" t="s">
        <v>152</v>
      </c>
      <c r="AB1" s="87" t="s">
        <v>153</v>
      </c>
      <c r="AC1" s="87" t="s">
        <v>154</v>
      </c>
      <c r="AD1" s="87" t="s">
        <v>155</v>
      </c>
      <c r="AE1" s="87" t="s">
        <v>156</v>
      </c>
      <c r="AF1" s="87" t="s">
        <v>157</v>
      </c>
      <c r="AG1" s="87" t="s">
        <v>158</v>
      </c>
    </row>
    <row r="2" spans="1:36" s="139" customFormat="1" ht="30" customHeight="1">
      <c r="A2" s="98" t="s">
        <v>108</v>
      </c>
      <c r="B2" s="98" t="s">
        <v>108</v>
      </c>
      <c r="C2" s="98" t="s">
        <v>159</v>
      </c>
      <c r="D2" s="145">
        <v>10000000</v>
      </c>
      <c r="E2" s="98" t="s">
        <v>160</v>
      </c>
      <c r="F2" s="98"/>
      <c r="G2" s="98"/>
      <c r="H2" s="98" t="s">
        <v>161</v>
      </c>
      <c r="I2" s="99">
        <v>100</v>
      </c>
      <c r="J2" s="98" t="s">
        <v>162</v>
      </c>
      <c r="K2" s="99">
        <v>100</v>
      </c>
      <c r="L2" s="98" t="s">
        <v>163</v>
      </c>
      <c r="M2" s="99">
        <v>50</v>
      </c>
      <c r="N2" s="98"/>
      <c r="O2" s="98" t="s">
        <v>109</v>
      </c>
      <c r="P2" s="98" t="str">
        <f t="shared" ref="P2:P34" si="0">A2&amp;"|"&amp;O2</f>
        <v>ALIANZAS|En seguimiento</v>
      </c>
      <c r="Q2" s="98" t="s">
        <v>164</v>
      </c>
      <c r="R2" s="98" t="str">
        <f>TRIM(tbl_BasePowerBI[[#This Row],[NOMBRE EJECUTIVO]])</f>
        <v>ALIANZAS</v>
      </c>
      <c r="S2" s="98" t="s">
        <v>165</v>
      </c>
      <c r="T2" s="100">
        <v>46176</v>
      </c>
      <c r="U2" s="100">
        <v>46176</v>
      </c>
      <c r="V2" s="146" t="s">
        <v>166</v>
      </c>
      <c r="W2" s="101">
        <v>10000000</v>
      </c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>
        <v>1</v>
      </c>
    </row>
    <row r="3" spans="1:36" s="139" customFormat="1" ht="30" customHeight="1">
      <c r="A3" s="98" t="s">
        <v>108</v>
      </c>
      <c r="B3" s="98" t="s">
        <v>108</v>
      </c>
      <c r="C3" s="98" t="s">
        <v>167</v>
      </c>
      <c r="D3" s="145">
        <v>10000000</v>
      </c>
      <c r="E3" s="98" t="s">
        <v>168</v>
      </c>
      <c r="F3" s="98"/>
      <c r="G3" s="98"/>
      <c r="H3" s="98" t="s">
        <v>161</v>
      </c>
      <c r="I3" s="99">
        <v>100</v>
      </c>
      <c r="J3" s="98" t="s">
        <v>162</v>
      </c>
      <c r="K3" s="99">
        <v>100</v>
      </c>
      <c r="L3" s="98" t="s">
        <v>163</v>
      </c>
      <c r="M3" s="99">
        <v>50</v>
      </c>
      <c r="N3" s="98"/>
      <c r="O3" s="98" t="s">
        <v>109</v>
      </c>
      <c r="P3" s="98" t="str">
        <f t="shared" si="0"/>
        <v>ALIANZAS|En seguimiento</v>
      </c>
      <c r="Q3" s="98" t="s">
        <v>164</v>
      </c>
      <c r="R3" s="98" t="str">
        <f>TRIM(tbl_BasePowerBI[[#This Row],[NOMBRE EJECUTIVO]])</f>
        <v>ALIANZAS</v>
      </c>
      <c r="S3" s="98" t="s">
        <v>165</v>
      </c>
      <c r="T3" s="100">
        <v>46176</v>
      </c>
      <c r="U3" s="100">
        <v>46176</v>
      </c>
      <c r="V3" s="146" t="s">
        <v>169</v>
      </c>
      <c r="W3" s="101">
        <v>10000000</v>
      </c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>
        <v>2</v>
      </c>
    </row>
    <row r="4" spans="1:36" s="139" customFormat="1" ht="30" customHeight="1">
      <c r="A4" s="98" t="s">
        <v>131</v>
      </c>
      <c r="B4" s="98" t="s">
        <v>131</v>
      </c>
      <c r="C4" s="98" t="s">
        <v>167</v>
      </c>
      <c r="D4" s="145">
        <v>20000000</v>
      </c>
      <c r="E4" s="98" t="s">
        <v>170</v>
      </c>
      <c r="F4" s="98"/>
      <c r="G4" s="98"/>
      <c r="H4" s="102" t="s">
        <v>161</v>
      </c>
      <c r="I4" s="99">
        <v>100</v>
      </c>
      <c r="J4" s="102" t="s">
        <v>162</v>
      </c>
      <c r="K4" s="99">
        <v>100</v>
      </c>
      <c r="L4" s="98" t="s">
        <v>171</v>
      </c>
      <c r="M4" s="99">
        <v>100</v>
      </c>
      <c r="N4" s="98"/>
      <c r="O4" s="98" t="s">
        <v>109</v>
      </c>
      <c r="P4" s="98" t="str">
        <f t="shared" si="0"/>
        <v>PRODUCTOS GENERALES|En seguimiento</v>
      </c>
      <c r="Q4" s="98" t="s">
        <v>164</v>
      </c>
      <c r="R4" s="98" t="str">
        <f>TRIM(tbl_BasePowerBI[[#This Row],[NOMBRE EJECUTIVO]])</f>
        <v>PRODUCTOS GENERALES</v>
      </c>
      <c r="S4" s="98" t="s">
        <v>165</v>
      </c>
      <c r="T4" s="100">
        <v>46174</v>
      </c>
      <c r="U4" s="100">
        <v>46174</v>
      </c>
      <c r="V4" s="146" t="s">
        <v>172</v>
      </c>
      <c r="W4" s="101">
        <v>20000000</v>
      </c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>
        <v>3</v>
      </c>
    </row>
    <row r="5" spans="1:36" s="139" customFormat="1" ht="30" customHeight="1">
      <c r="A5" s="98" t="s">
        <v>131</v>
      </c>
      <c r="B5" s="98" t="s">
        <v>131</v>
      </c>
      <c r="C5" s="98" t="s">
        <v>167</v>
      </c>
      <c r="D5" s="145">
        <v>20000000</v>
      </c>
      <c r="E5" s="98" t="s">
        <v>173</v>
      </c>
      <c r="F5" s="98"/>
      <c r="G5" s="98"/>
      <c r="H5" s="102" t="s">
        <v>161</v>
      </c>
      <c r="I5" s="99">
        <v>100</v>
      </c>
      <c r="J5" s="102" t="s">
        <v>162</v>
      </c>
      <c r="K5" s="99">
        <v>100</v>
      </c>
      <c r="L5" s="98" t="s">
        <v>171</v>
      </c>
      <c r="M5" s="99">
        <v>100</v>
      </c>
      <c r="N5" s="98"/>
      <c r="O5" s="98" t="s">
        <v>109</v>
      </c>
      <c r="P5" s="98" t="str">
        <f t="shared" si="0"/>
        <v>PRODUCTOS GENERALES|En seguimiento</v>
      </c>
      <c r="Q5" s="98" t="s">
        <v>164</v>
      </c>
      <c r="R5" s="98" t="str">
        <f>TRIM(tbl_BasePowerBI[[#This Row],[NOMBRE EJECUTIVO]])</f>
        <v>PRODUCTOS GENERALES</v>
      </c>
      <c r="S5" s="98" t="s">
        <v>165</v>
      </c>
      <c r="T5" s="100">
        <v>46174</v>
      </c>
      <c r="U5" s="100">
        <v>46174</v>
      </c>
      <c r="V5" s="146" t="s">
        <v>174</v>
      </c>
      <c r="W5" s="101">
        <v>20000000</v>
      </c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>
        <v>4</v>
      </c>
    </row>
    <row r="6" spans="1:36" s="139" customFormat="1" ht="30" customHeight="1">
      <c r="A6" s="98" t="s">
        <v>131</v>
      </c>
      <c r="B6" s="98" t="s">
        <v>131</v>
      </c>
      <c r="C6" s="98" t="s">
        <v>175</v>
      </c>
      <c r="D6" s="145">
        <v>20000000</v>
      </c>
      <c r="E6" s="98" t="s">
        <v>176</v>
      </c>
      <c r="F6" s="98"/>
      <c r="G6" s="98"/>
      <c r="H6" s="102" t="s">
        <v>161</v>
      </c>
      <c r="I6" s="99">
        <v>100</v>
      </c>
      <c r="J6" s="102" t="s">
        <v>162</v>
      </c>
      <c r="K6" s="99">
        <v>100</v>
      </c>
      <c r="L6" s="98" t="s">
        <v>171</v>
      </c>
      <c r="M6" s="99">
        <v>100</v>
      </c>
      <c r="N6" s="98"/>
      <c r="O6" s="98" t="s">
        <v>109</v>
      </c>
      <c r="P6" s="98" t="str">
        <f t="shared" si="0"/>
        <v>PRODUCTOS GENERALES|En seguimiento</v>
      </c>
      <c r="Q6" s="98" t="s">
        <v>164</v>
      </c>
      <c r="R6" s="98" t="str">
        <f>TRIM(tbl_BasePowerBI[[#This Row],[NOMBRE EJECUTIVO]])</f>
        <v>PRODUCTOS GENERALES</v>
      </c>
      <c r="S6" s="98" t="s">
        <v>165</v>
      </c>
      <c r="T6" s="100">
        <v>46174</v>
      </c>
      <c r="U6" s="100">
        <v>46174</v>
      </c>
      <c r="V6" s="146" t="s">
        <v>177</v>
      </c>
      <c r="W6" s="101">
        <v>20000000</v>
      </c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>
        <v>5</v>
      </c>
    </row>
    <row r="7" spans="1:36" s="139" customFormat="1" ht="30" customHeight="1">
      <c r="A7" s="98" t="s">
        <v>131</v>
      </c>
      <c r="B7" s="98" t="s">
        <v>131</v>
      </c>
      <c r="C7" s="98" t="s">
        <v>131</v>
      </c>
      <c r="D7" s="145">
        <v>20000000</v>
      </c>
      <c r="E7" s="98" t="s">
        <v>178</v>
      </c>
      <c r="F7" s="98"/>
      <c r="G7" s="98"/>
      <c r="H7" s="102" t="s">
        <v>161</v>
      </c>
      <c r="I7" s="99">
        <v>100</v>
      </c>
      <c r="J7" s="98" t="s">
        <v>162</v>
      </c>
      <c r="K7" s="99">
        <v>100</v>
      </c>
      <c r="L7" s="98" t="s">
        <v>163</v>
      </c>
      <c r="M7" s="99">
        <v>100</v>
      </c>
      <c r="N7" s="98"/>
      <c r="O7" s="98" t="s">
        <v>109</v>
      </c>
      <c r="P7" s="98" t="str">
        <f t="shared" si="0"/>
        <v>PRODUCTOS GENERALES|En seguimiento</v>
      </c>
      <c r="Q7" s="98" t="s">
        <v>164</v>
      </c>
      <c r="R7" s="98" t="str">
        <f>TRIM(tbl_BasePowerBI[[#This Row],[NOMBRE EJECUTIVO]])</f>
        <v>PRODUCTOS GENERALES</v>
      </c>
      <c r="S7" s="98" t="s">
        <v>165</v>
      </c>
      <c r="T7" s="100">
        <v>46174</v>
      </c>
      <c r="U7" s="100">
        <v>46174</v>
      </c>
      <c r="V7" s="146" t="s">
        <v>179</v>
      </c>
      <c r="W7" s="101">
        <v>20000000</v>
      </c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>
        <v>6</v>
      </c>
    </row>
    <row r="8" spans="1:36" s="139" customFormat="1" ht="30" customHeight="1">
      <c r="A8" s="98" t="s">
        <v>131</v>
      </c>
      <c r="B8" s="98" t="s">
        <v>131</v>
      </c>
      <c r="C8" s="98" t="s">
        <v>131</v>
      </c>
      <c r="D8" s="145">
        <v>20000000</v>
      </c>
      <c r="E8" s="98" t="s">
        <v>180</v>
      </c>
      <c r="F8" s="98"/>
      <c r="G8" s="98"/>
      <c r="H8" s="102" t="s">
        <v>161</v>
      </c>
      <c r="I8" s="99">
        <v>100</v>
      </c>
      <c r="J8" s="98" t="s">
        <v>162</v>
      </c>
      <c r="K8" s="99">
        <v>100</v>
      </c>
      <c r="L8" s="98" t="s">
        <v>163</v>
      </c>
      <c r="M8" s="99">
        <v>100</v>
      </c>
      <c r="N8" s="98"/>
      <c r="O8" s="98" t="s">
        <v>109</v>
      </c>
      <c r="P8" s="98" t="str">
        <f t="shared" si="0"/>
        <v>PRODUCTOS GENERALES|En seguimiento</v>
      </c>
      <c r="Q8" s="98" t="s">
        <v>164</v>
      </c>
      <c r="R8" s="98" t="str">
        <f>TRIM(tbl_BasePowerBI[[#This Row],[NOMBRE EJECUTIVO]])</f>
        <v>PRODUCTOS GENERALES</v>
      </c>
      <c r="S8" s="98" t="s">
        <v>165</v>
      </c>
      <c r="T8" s="100">
        <v>46174</v>
      </c>
      <c r="U8" s="100">
        <v>46174</v>
      </c>
      <c r="V8" s="146" t="s">
        <v>181</v>
      </c>
      <c r="W8" s="101">
        <v>20000000</v>
      </c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>
        <v>7</v>
      </c>
    </row>
    <row r="9" spans="1:36" s="139" customFormat="1" ht="30" customHeight="1">
      <c r="A9" s="98" t="s">
        <v>131</v>
      </c>
      <c r="B9" s="98" t="s">
        <v>131</v>
      </c>
      <c r="C9" s="98" t="s">
        <v>131</v>
      </c>
      <c r="D9" s="145">
        <v>20000000</v>
      </c>
      <c r="E9" s="98" t="s">
        <v>182</v>
      </c>
      <c r="F9" s="98"/>
      <c r="G9" s="98"/>
      <c r="H9" s="102" t="s">
        <v>161</v>
      </c>
      <c r="I9" s="99">
        <v>100</v>
      </c>
      <c r="J9" s="98" t="s">
        <v>162</v>
      </c>
      <c r="K9" s="99">
        <v>100</v>
      </c>
      <c r="L9" s="98" t="s">
        <v>163</v>
      </c>
      <c r="M9" s="99">
        <v>100</v>
      </c>
      <c r="N9" s="98"/>
      <c r="O9" s="98" t="s">
        <v>109</v>
      </c>
      <c r="P9" s="98" t="str">
        <f t="shared" si="0"/>
        <v>PRODUCTOS GENERALES|En seguimiento</v>
      </c>
      <c r="Q9" s="98" t="s">
        <v>164</v>
      </c>
      <c r="R9" s="98" t="str">
        <f>TRIM(tbl_BasePowerBI[[#This Row],[NOMBRE EJECUTIVO]])</f>
        <v>PRODUCTOS GENERALES</v>
      </c>
      <c r="S9" s="98" t="s">
        <v>165</v>
      </c>
      <c r="T9" s="100">
        <v>46174</v>
      </c>
      <c r="U9" s="100">
        <v>46174</v>
      </c>
      <c r="V9" s="146" t="s">
        <v>183</v>
      </c>
      <c r="W9" s="101">
        <v>20000000</v>
      </c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>
        <v>8</v>
      </c>
    </row>
    <row r="10" spans="1:36" s="139" customFormat="1" ht="30" customHeight="1">
      <c r="A10" s="98" t="s">
        <v>131</v>
      </c>
      <c r="B10" s="98" t="s">
        <v>131</v>
      </c>
      <c r="C10" s="98" t="s">
        <v>131</v>
      </c>
      <c r="D10" s="145">
        <v>20000000</v>
      </c>
      <c r="E10" s="98" t="s">
        <v>184</v>
      </c>
      <c r="F10" s="98"/>
      <c r="G10" s="98"/>
      <c r="H10" s="102" t="s">
        <v>161</v>
      </c>
      <c r="I10" s="99">
        <v>100</v>
      </c>
      <c r="J10" s="98" t="s">
        <v>162</v>
      </c>
      <c r="K10" s="99">
        <v>100</v>
      </c>
      <c r="L10" s="98" t="s">
        <v>163</v>
      </c>
      <c r="M10" s="99">
        <v>100</v>
      </c>
      <c r="N10" s="98"/>
      <c r="O10" s="98" t="s">
        <v>109</v>
      </c>
      <c r="P10" s="98" t="str">
        <f t="shared" si="0"/>
        <v>PRODUCTOS GENERALES|En seguimiento</v>
      </c>
      <c r="Q10" s="98" t="s">
        <v>164</v>
      </c>
      <c r="R10" s="98" t="str">
        <f>TRIM(tbl_BasePowerBI[[#This Row],[NOMBRE EJECUTIVO]])</f>
        <v>PRODUCTOS GENERALES</v>
      </c>
      <c r="S10" s="98" t="s">
        <v>165</v>
      </c>
      <c r="T10" s="100">
        <v>46174</v>
      </c>
      <c r="U10" s="100">
        <v>46174</v>
      </c>
      <c r="V10" s="146" t="s">
        <v>185</v>
      </c>
      <c r="W10" s="101">
        <v>20000000</v>
      </c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>
        <v>9</v>
      </c>
    </row>
    <row r="11" spans="1:36" s="139" customFormat="1" ht="30" customHeight="1">
      <c r="A11" s="98" t="s">
        <v>131</v>
      </c>
      <c r="B11" s="98" t="s">
        <v>131</v>
      </c>
      <c r="C11" s="98" t="s">
        <v>131</v>
      </c>
      <c r="D11" s="145">
        <v>20000000</v>
      </c>
      <c r="E11" s="98" t="s">
        <v>186</v>
      </c>
      <c r="F11" s="98"/>
      <c r="G11" s="98"/>
      <c r="H11" s="102" t="s">
        <v>161</v>
      </c>
      <c r="I11" s="99">
        <v>100</v>
      </c>
      <c r="J11" s="98" t="s">
        <v>162</v>
      </c>
      <c r="K11" s="99">
        <v>100</v>
      </c>
      <c r="L11" s="98" t="s">
        <v>163</v>
      </c>
      <c r="M11" s="99">
        <v>100</v>
      </c>
      <c r="N11" s="98"/>
      <c r="O11" s="98" t="s">
        <v>109</v>
      </c>
      <c r="P11" s="98" t="str">
        <f t="shared" si="0"/>
        <v>PRODUCTOS GENERALES|En seguimiento</v>
      </c>
      <c r="Q11" s="98" t="s">
        <v>164</v>
      </c>
      <c r="R11" s="98" t="str">
        <f>TRIM(tbl_BasePowerBI[[#This Row],[NOMBRE EJECUTIVO]])</f>
        <v>PRODUCTOS GENERALES</v>
      </c>
      <c r="S11" s="98" t="s">
        <v>165</v>
      </c>
      <c r="T11" s="100">
        <v>46174</v>
      </c>
      <c r="U11" s="100">
        <v>46174</v>
      </c>
      <c r="V11" s="98"/>
      <c r="W11" s="101">
        <v>20000000</v>
      </c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>
        <v>10</v>
      </c>
    </row>
    <row r="12" spans="1:36" s="139" customFormat="1" ht="30" customHeight="1">
      <c r="A12" s="98" t="s">
        <v>131</v>
      </c>
      <c r="B12" s="98" t="s">
        <v>131</v>
      </c>
      <c r="C12" s="98" t="s">
        <v>131</v>
      </c>
      <c r="D12" s="145">
        <v>20000000</v>
      </c>
      <c r="E12" s="98" t="s">
        <v>187</v>
      </c>
      <c r="F12" s="98"/>
      <c r="G12" s="98"/>
      <c r="H12" s="102" t="s">
        <v>161</v>
      </c>
      <c r="I12" s="99">
        <v>100</v>
      </c>
      <c r="J12" s="98" t="s">
        <v>162</v>
      </c>
      <c r="K12" s="99">
        <v>100</v>
      </c>
      <c r="L12" s="98" t="s">
        <v>163</v>
      </c>
      <c r="M12" s="99">
        <v>100</v>
      </c>
      <c r="N12" s="98"/>
      <c r="O12" s="98" t="s">
        <v>109</v>
      </c>
      <c r="P12" s="98" t="str">
        <f t="shared" si="0"/>
        <v>PRODUCTOS GENERALES|En seguimiento</v>
      </c>
      <c r="Q12" s="98" t="s">
        <v>164</v>
      </c>
      <c r="R12" s="98" t="str">
        <f>TRIM(tbl_BasePowerBI[[#This Row],[NOMBRE EJECUTIVO]])</f>
        <v>PRODUCTOS GENERALES</v>
      </c>
      <c r="S12" s="98" t="s">
        <v>165</v>
      </c>
      <c r="T12" s="100">
        <v>46174</v>
      </c>
      <c r="U12" s="100">
        <v>46174</v>
      </c>
      <c r="V12" s="146" t="s">
        <v>188</v>
      </c>
      <c r="W12" s="101">
        <v>20000000</v>
      </c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>
        <v>11</v>
      </c>
    </row>
    <row r="13" spans="1:36" s="139" customFormat="1" ht="30" customHeight="1">
      <c r="A13" s="98" t="s">
        <v>131</v>
      </c>
      <c r="B13" s="98" t="s">
        <v>131</v>
      </c>
      <c r="C13" s="98" t="s">
        <v>131</v>
      </c>
      <c r="D13" s="145">
        <v>20000000</v>
      </c>
      <c r="E13" s="98" t="s">
        <v>189</v>
      </c>
      <c r="F13" s="98"/>
      <c r="G13" s="98"/>
      <c r="H13" s="102" t="s">
        <v>161</v>
      </c>
      <c r="I13" s="99">
        <v>100</v>
      </c>
      <c r="J13" s="98" t="s">
        <v>162</v>
      </c>
      <c r="K13" s="99">
        <v>100</v>
      </c>
      <c r="L13" s="98" t="s">
        <v>163</v>
      </c>
      <c r="M13" s="99">
        <v>100</v>
      </c>
      <c r="N13" s="98"/>
      <c r="O13" s="98" t="s">
        <v>109</v>
      </c>
      <c r="P13" s="98" t="str">
        <f t="shared" si="0"/>
        <v>PRODUCTOS GENERALES|En seguimiento</v>
      </c>
      <c r="Q13" s="98" t="s">
        <v>164</v>
      </c>
      <c r="R13" s="98" t="str">
        <f>TRIM(tbl_BasePowerBI[[#This Row],[NOMBRE EJECUTIVO]])</f>
        <v>PRODUCTOS GENERALES</v>
      </c>
      <c r="S13" s="98" t="s">
        <v>165</v>
      </c>
      <c r="T13" s="100">
        <v>46174</v>
      </c>
      <c r="U13" s="100">
        <v>46174</v>
      </c>
      <c r="V13" s="98"/>
      <c r="W13" s="101">
        <v>20000000</v>
      </c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>
        <v>12</v>
      </c>
    </row>
    <row r="14" spans="1:36" s="139" customFormat="1" ht="56.25" customHeight="1">
      <c r="A14" s="98" t="s">
        <v>131</v>
      </c>
      <c r="B14" s="98" t="s">
        <v>131</v>
      </c>
      <c r="C14" s="98" t="s">
        <v>190</v>
      </c>
      <c r="D14" s="145">
        <v>20000000</v>
      </c>
      <c r="E14" s="102" t="s">
        <v>191</v>
      </c>
      <c r="F14" s="98"/>
      <c r="G14" s="98"/>
      <c r="H14" s="102" t="s">
        <v>192</v>
      </c>
      <c r="I14" s="99">
        <v>100</v>
      </c>
      <c r="J14" s="98" t="s">
        <v>193</v>
      </c>
      <c r="K14" s="99">
        <v>50</v>
      </c>
      <c r="L14" s="98" t="s">
        <v>163</v>
      </c>
      <c r="M14" s="99"/>
      <c r="N14" s="98"/>
      <c r="O14" s="98" t="s">
        <v>109</v>
      </c>
      <c r="P14" s="98" t="str">
        <f t="shared" si="0"/>
        <v>PRODUCTOS GENERALES|En seguimiento</v>
      </c>
      <c r="Q14" s="98" t="s">
        <v>194</v>
      </c>
      <c r="R14" s="98" t="s">
        <v>131</v>
      </c>
      <c r="S14" s="98" t="s">
        <v>195</v>
      </c>
      <c r="T14" s="100">
        <v>46209</v>
      </c>
      <c r="U14" s="100">
        <v>46209</v>
      </c>
      <c r="V14" s="146" t="s">
        <v>196</v>
      </c>
      <c r="W14" s="101">
        <v>20000000</v>
      </c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>
        <v>13</v>
      </c>
    </row>
    <row r="15" spans="1:36" s="139" customFormat="1" ht="30" customHeight="1">
      <c r="A15" s="98" t="s">
        <v>0</v>
      </c>
      <c r="B15" s="102" t="s">
        <v>112</v>
      </c>
      <c r="C15" s="98" t="s">
        <v>197</v>
      </c>
      <c r="D15" s="145">
        <v>40000000</v>
      </c>
      <c r="E15" s="98" t="s">
        <v>198</v>
      </c>
      <c r="F15" s="98"/>
      <c r="G15" s="98"/>
      <c r="H15" s="102" t="s">
        <v>161</v>
      </c>
      <c r="I15" s="99">
        <v>100</v>
      </c>
      <c r="J15" s="98" t="s">
        <v>162</v>
      </c>
      <c r="K15" s="99">
        <v>100</v>
      </c>
      <c r="L15" s="98" t="s">
        <v>163</v>
      </c>
      <c r="M15" s="99">
        <v>50</v>
      </c>
      <c r="N15" s="98"/>
      <c r="O15" s="98" t="s">
        <v>109</v>
      </c>
      <c r="P15" s="98" t="str">
        <f t="shared" si="0"/>
        <v>N1|En seguimiento</v>
      </c>
      <c r="Q15" s="98" t="s">
        <v>164</v>
      </c>
      <c r="R15" s="98" t="str">
        <f>TRIM(tbl_BasePowerBI[[#This Row],[NOMBRE EJECUTIVO]])</f>
        <v>Andrea Morales</v>
      </c>
      <c r="S15" s="98" t="s">
        <v>165</v>
      </c>
      <c r="T15" s="100">
        <v>46195</v>
      </c>
      <c r="U15" s="107">
        <v>46225</v>
      </c>
      <c r="V15" s="121" t="s">
        <v>199</v>
      </c>
      <c r="W15" s="147">
        <v>42014863</v>
      </c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>
        <v>14</v>
      </c>
    </row>
    <row r="16" spans="1:36" s="139" customFormat="1" ht="30" customHeight="1">
      <c r="A16" s="103" t="s">
        <v>0</v>
      </c>
      <c r="B16" s="104" t="s">
        <v>200</v>
      </c>
      <c r="C16" s="105" t="s">
        <v>201</v>
      </c>
      <c r="D16" s="148">
        <v>0</v>
      </c>
      <c r="E16" s="103" t="s">
        <v>202</v>
      </c>
      <c r="F16" s="103"/>
      <c r="G16" s="103"/>
      <c r="H16" s="104" t="s">
        <v>161</v>
      </c>
      <c r="I16" s="106"/>
      <c r="J16" s="103"/>
      <c r="K16" s="106"/>
      <c r="L16" s="103"/>
      <c r="M16" s="106"/>
      <c r="N16" s="103"/>
      <c r="O16" s="103" t="s">
        <v>203</v>
      </c>
      <c r="P16" s="103" t="str">
        <f t="shared" si="0"/>
        <v>N1|Por Mejorar</v>
      </c>
      <c r="Q16" s="103" t="s">
        <v>194</v>
      </c>
      <c r="R16" s="103" t="str">
        <f>TRIM(tbl_BasePowerBI[[#This Row],[NOMBRE EJECUTIVO]])</f>
        <v>Diana Contreras Rodriguez</v>
      </c>
      <c r="S16" s="103"/>
      <c r="T16" s="107"/>
      <c r="U16" s="107"/>
      <c r="V16" s="103"/>
      <c r="W16" s="108">
        <v>0</v>
      </c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>
        <v>15</v>
      </c>
    </row>
    <row r="17" spans="1:36" s="139" customFormat="1" ht="30" customHeight="1">
      <c r="A17" s="103" t="s">
        <v>0</v>
      </c>
      <c r="B17" s="104" t="s">
        <v>204</v>
      </c>
      <c r="C17" s="105" t="s">
        <v>205</v>
      </c>
      <c r="D17" s="148">
        <v>0</v>
      </c>
      <c r="E17" s="103" t="s">
        <v>202</v>
      </c>
      <c r="F17" s="103"/>
      <c r="G17" s="103"/>
      <c r="H17" s="104" t="s">
        <v>161</v>
      </c>
      <c r="I17" s="106"/>
      <c r="J17" s="103"/>
      <c r="K17" s="106"/>
      <c r="L17" s="103"/>
      <c r="M17" s="106"/>
      <c r="N17" s="103"/>
      <c r="O17" s="103" t="s">
        <v>203</v>
      </c>
      <c r="P17" s="103" t="str">
        <f t="shared" si="0"/>
        <v>N1|Por Mejorar</v>
      </c>
      <c r="Q17" s="103" t="s">
        <v>194</v>
      </c>
      <c r="R17" s="103" t="str">
        <f>TRIM(tbl_BasePowerBI[[#This Row],[NOMBRE EJECUTIVO]])</f>
        <v>Rosa Diaz</v>
      </c>
      <c r="S17" s="103"/>
      <c r="T17" s="107"/>
      <c r="U17" s="107"/>
      <c r="V17" s="103"/>
      <c r="W17" s="108">
        <v>0</v>
      </c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>
        <v>16</v>
      </c>
    </row>
    <row r="18" spans="1:36" s="139" customFormat="1" ht="30" customHeight="1">
      <c r="A18" s="103" t="s">
        <v>0</v>
      </c>
      <c r="B18" s="104" t="s">
        <v>204</v>
      </c>
      <c r="C18" s="105" t="s">
        <v>206</v>
      </c>
      <c r="D18" s="148">
        <v>0</v>
      </c>
      <c r="E18" s="103" t="s">
        <v>202</v>
      </c>
      <c r="F18" s="103"/>
      <c r="G18" s="103"/>
      <c r="H18" s="104" t="s">
        <v>161</v>
      </c>
      <c r="I18" s="106"/>
      <c r="J18" s="103"/>
      <c r="K18" s="106"/>
      <c r="L18" s="103"/>
      <c r="M18" s="106"/>
      <c r="N18" s="103"/>
      <c r="O18" s="103" t="s">
        <v>203</v>
      </c>
      <c r="P18" s="103" t="str">
        <f t="shared" si="0"/>
        <v>N1|Por Mejorar</v>
      </c>
      <c r="Q18" s="103" t="s">
        <v>194</v>
      </c>
      <c r="R18" s="103" t="str">
        <f>TRIM(tbl_BasePowerBI[[#This Row],[NOMBRE EJECUTIVO]])</f>
        <v>Rosa Diaz</v>
      </c>
      <c r="S18" s="103"/>
      <c r="T18" s="107"/>
      <c r="U18" s="107"/>
      <c r="V18" s="103"/>
      <c r="W18" s="108">
        <v>0</v>
      </c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>
        <v>17</v>
      </c>
    </row>
    <row r="19" spans="1:36" s="139" customFormat="1" ht="30" customHeight="1">
      <c r="A19" s="98" t="s">
        <v>0</v>
      </c>
      <c r="B19" s="102" t="s">
        <v>204</v>
      </c>
      <c r="C19" s="109" t="s">
        <v>207</v>
      </c>
      <c r="D19" s="145">
        <v>50000000</v>
      </c>
      <c r="E19" s="98" t="s">
        <v>202</v>
      </c>
      <c r="F19" s="98"/>
      <c r="G19" s="98"/>
      <c r="H19" s="102" t="s">
        <v>161</v>
      </c>
      <c r="I19" s="99">
        <v>100</v>
      </c>
      <c r="J19" s="98" t="s">
        <v>162</v>
      </c>
      <c r="K19" s="99">
        <v>100</v>
      </c>
      <c r="L19" s="98"/>
      <c r="M19" s="99"/>
      <c r="N19" s="98"/>
      <c r="O19" s="98" t="s">
        <v>109</v>
      </c>
      <c r="P19" s="98" t="str">
        <f t="shared" si="0"/>
        <v>N1|En seguimiento</v>
      </c>
      <c r="Q19" s="98" t="s">
        <v>194</v>
      </c>
      <c r="R19" s="98" t="str">
        <f>TRIM(tbl_BasePowerBI[[#This Row],[NOMBRE EJECUTIVO]])</f>
        <v>Rosa Diaz</v>
      </c>
      <c r="S19" s="98" t="s">
        <v>195</v>
      </c>
      <c r="T19" s="100">
        <v>46224</v>
      </c>
      <c r="U19" s="100">
        <v>46233</v>
      </c>
      <c r="V19" s="146" t="s">
        <v>208</v>
      </c>
      <c r="W19" s="110">
        <v>58000000</v>
      </c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>
        <v>18</v>
      </c>
    </row>
    <row r="20" spans="1:36" s="139" customFormat="1" ht="30" customHeight="1">
      <c r="A20" s="98" t="s">
        <v>0</v>
      </c>
      <c r="B20" s="102" t="s">
        <v>204</v>
      </c>
      <c r="C20" s="109" t="s">
        <v>209</v>
      </c>
      <c r="D20" s="145">
        <v>50000000</v>
      </c>
      <c r="E20" s="98" t="s">
        <v>202</v>
      </c>
      <c r="F20" s="98"/>
      <c r="G20" s="98"/>
      <c r="H20" s="102" t="s">
        <v>161</v>
      </c>
      <c r="I20" s="99">
        <v>100</v>
      </c>
      <c r="J20" s="98" t="s">
        <v>162</v>
      </c>
      <c r="K20" s="99">
        <v>100</v>
      </c>
      <c r="L20" s="98"/>
      <c r="M20" s="99"/>
      <c r="N20" s="98"/>
      <c r="O20" s="98" t="s">
        <v>109</v>
      </c>
      <c r="P20" s="98" t="str">
        <f t="shared" ref="P20" si="1">A20&amp;"|"&amp;O20</f>
        <v>N1|En seguimiento</v>
      </c>
      <c r="Q20" s="98" t="s">
        <v>194</v>
      </c>
      <c r="R20" s="98" t="str">
        <f>TRIM(tbl_BasePowerBI[[#This Row],[NOMBRE EJECUTIVO]])</f>
        <v>Rosa Diaz</v>
      </c>
      <c r="S20" s="98" t="s">
        <v>195</v>
      </c>
      <c r="T20" s="100">
        <v>46224</v>
      </c>
      <c r="U20" s="100">
        <v>46233</v>
      </c>
      <c r="V20" s="146" t="s">
        <v>210</v>
      </c>
      <c r="W20" s="110">
        <v>58000000</v>
      </c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86"/>
      <c r="AI20" s="86"/>
      <c r="AJ20" s="86"/>
    </row>
    <row r="21" spans="1:36" s="139" customFormat="1" ht="30" customHeight="1">
      <c r="A21" s="103" t="s">
        <v>0</v>
      </c>
      <c r="B21" s="104" t="s">
        <v>204</v>
      </c>
      <c r="C21" s="105" t="s">
        <v>211</v>
      </c>
      <c r="D21" s="148">
        <v>0</v>
      </c>
      <c r="E21" s="103" t="s">
        <v>202</v>
      </c>
      <c r="F21" s="103"/>
      <c r="G21" s="103"/>
      <c r="H21" s="104" t="s">
        <v>161</v>
      </c>
      <c r="I21" s="106"/>
      <c r="J21" s="103"/>
      <c r="K21" s="106"/>
      <c r="L21" s="103"/>
      <c r="M21" s="106"/>
      <c r="N21" s="103"/>
      <c r="O21" s="103" t="s">
        <v>203</v>
      </c>
      <c r="P21" s="103" t="str">
        <f t="shared" si="0"/>
        <v>N1|Por Mejorar</v>
      </c>
      <c r="Q21" s="103" t="s">
        <v>194</v>
      </c>
      <c r="R21" s="103" t="str">
        <f>TRIM(tbl_BasePowerBI[[#This Row],[NOMBRE EJECUTIVO]])</f>
        <v>Rosa Diaz</v>
      </c>
      <c r="S21" s="103"/>
      <c r="T21" s="107"/>
      <c r="U21" s="107"/>
      <c r="V21" s="103"/>
      <c r="W21" s="108">
        <v>0</v>
      </c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>
        <v>19</v>
      </c>
    </row>
    <row r="22" spans="1:36" s="139" customFormat="1" ht="30" customHeight="1">
      <c r="A22" s="103" t="s">
        <v>0</v>
      </c>
      <c r="B22" s="104" t="s">
        <v>111</v>
      </c>
      <c r="C22" s="105" t="s">
        <v>212</v>
      </c>
      <c r="D22" s="148">
        <v>0</v>
      </c>
      <c r="E22" s="103" t="s">
        <v>202</v>
      </c>
      <c r="F22" s="103"/>
      <c r="G22" s="103"/>
      <c r="H22" s="104" t="s">
        <v>161</v>
      </c>
      <c r="I22" s="106"/>
      <c r="J22" s="103"/>
      <c r="K22" s="106"/>
      <c r="L22" s="103"/>
      <c r="M22" s="106"/>
      <c r="N22" s="103"/>
      <c r="O22" s="103" t="s">
        <v>203</v>
      </c>
      <c r="P22" s="103" t="str">
        <f t="shared" si="0"/>
        <v>N1|Por Mejorar</v>
      </c>
      <c r="Q22" s="103" t="s">
        <v>194</v>
      </c>
      <c r="R22" s="103" t="str">
        <f>TRIM(tbl_BasePowerBI[[#This Row],[NOMBRE EJECUTIVO]])</f>
        <v>Felipe Guillen</v>
      </c>
      <c r="S22" s="103"/>
      <c r="T22" s="107"/>
      <c r="U22" s="107"/>
      <c r="V22" s="103"/>
      <c r="W22" s="108">
        <v>0</v>
      </c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>
        <v>21</v>
      </c>
    </row>
    <row r="23" spans="1:36" s="139" customFormat="1" ht="30" customHeight="1">
      <c r="A23" s="103" t="s">
        <v>0</v>
      </c>
      <c r="B23" s="104" t="s">
        <v>200</v>
      </c>
      <c r="C23" s="105" t="s">
        <v>213</v>
      </c>
      <c r="D23" s="148">
        <v>0</v>
      </c>
      <c r="E23" s="103" t="s">
        <v>202</v>
      </c>
      <c r="F23" s="103"/>
      <c r="G23" s="103"/>
      <c r="H23" s="104" t="s">
        <v>161</v>
      </c>
      <c r="I23" s="106"/>
      <c r="J23" s="103"/>
      <c r="K23" s="106"/>
      <c r="L23" s="103"/>
      <c r="M23" s="106"/>
      <c r="N23" s="103"/>
      <c r="O23" s="103" t="s">
        <v>203</v>
      </c>
      <c r="P23" s="103" t="str">
        <f t="shared" si="0"/>
        <v>N1|Por Mejorar</v>
      </c>
      <c r="Q23" s="103" t="s">
        <v>194</v>
      </c>
      <c r="R23" s="103" t="str">
        <f>TRIM(tbl_BasePowerBI[[#This Row],[NOMBRE EJECUTIVO]])</f>
        <v>Diana Contreras Rodriguez</v>
      </c>
      <c r="S23" s="103"/>
      <c r="T23" s="107"/>
      <c r="U23" s="107"/>
      <c r="V23" s="103"/>
      <c r="W23" s="108">
        <v>0</v>
      </c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>
        <v>23</v>
      </c>
    </row>
    <row r="24" spans="1:36" s="139" customFormat="1" ht="30" customHeight="1">
      <c r="A24" s="103" t="s">
        <v>0</v>
      </c>
      <c r="B24" s="104" t="s">
        <v>111</v>
      </c>
      <c r="C24" s="105" t="s">
        <v>214</v>
      </c>
      <c r="D24" s="148">
        <v>0</v>
      </c>
      <c r="E24" s="103" t="s">
        <v>202</v>
      </c>
      <c r="F24" s="103"/>
      <c r="G24" s="103"/>
      <c r="H24" s="104" t="s">
        <v>161</v>
      </c>
      <c r="I24" s="106"/>
      <c r="J24" s="103"/>
      <c r="K24" s="106"/>
      <c r="L24" s="103"/>
      <c r="M24" s="106"/>
      <c r="N24" s="103"/>
      <c r="O24" s="103" t="s">
        <v>203</v>
      </c>
      <c r="P24" s="103" t="str">
        <f t="shared" si="0"/>
        <v>N1|Por Mejorar</v>
      </c>
      <c r="Q24" s="103" t="s">
        <v>194</v>
      </c>
      <c r="R24" s="103" t="str">
        <f>TRIM(tbl_BasePowerBI[[#This Row],[NOMBRE EJECUTIVO]])</f>
        <v>Felipe Guillen</v>
      </c>
      <c r="S24" s="103"/>
      <c r="T24" s="107"/>
      <c r="U24" s="107"/>
      <c r="V24" s="103"/>
      <c r="W24" s="108">
        <v>0</v>
      </c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>
        <v>24</v>
      </c>
    </row>
    <row r="25" spans="1:36" s="139" customFormat="1" ht="30" customHeight="1">
      <c r="A25" s="98" t="s">
        <v>0</v>
      </c>
      <c r="B25" s="102" t="s">
        <v>113</v>
      </c>
      <c r="C25" s="109" t="s">
        <v>215</v>
      </c>
      <c r="D25" s="145">
        <v>0</v>
      </c>
      <c r="E25" s="98" t="s">
        <v>202</v>
      </c>
      <c r="F25" s="98"/>
      <c r="G25" s="98"/>
      <c r="H25" s="102" t="s">
        <v>161</v>
      </c>
      <c r="I25" s="99"/>
      <c r="J25" s="98" t="s">
        <v>216</v>
      </c>
      <c r="K25" s="99">
        <v>100</v>
      </c>
      <c r="L25" s="98" t="s">
        <v>217</v>
      </c>
      <c r="M25" s="99">
        <v>50</v>
      </c>
      <c r="N25" s="98"/>
      <c r="O25" s="98" t="s">
        <v>109</v>
      </c>
      <c r="P25" s="98" t="str">
        <f t="shared" si="0"/>
        <v>N1|En seguimiento</v>
      </c>
      <c r="Q25" s="98" t="s">
        <v>194</v>
      </c>
      <c r="R25" s="98" t="str">
        <f>TRIM(tbl_BasePowerBI[[#This Row],[NOMBRE EJECUTIVO]])</f>
        <v>Carolina Diaz</v>
      </c>
      <c r="S25" s="98" t="s">
        <v>218</v>
      </c>
      <c r="T25" s="100">
        <v>46247</v>
      </c>
      <c r="U25" s="100">
        <v>46254</v>
      </c>
      <c r="V25" s="98"/>
      <c r="W25" s="110">
        <v>0</v>
      </c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>
        <v>25</v>
      </c>
    </row>
    <row r="26" spans="1:36" s="139" customFormat="1" ht="30" customHeight="1">
      <c r="A26" s="103" t="s">
        <v>0</v>
      </c>
      <c r="B26" s="104" t="s">
        <v>113</v>
      </c>
      <c r="C26" s="105" t="s">
        <v>219</v>
      </c>
      <c r="D26" s="148">
        <v>0</v>
      </c>
      <c r="E26" s="103" t="s">
        <v>202</v>
      </c>
      <c r="F26" s="103"/>
      <c r="G26" s="103"/>
      <c r="H26" s="104" t="s">
        <v>161</v>
      </c>
      <c r="I26" s="106"/>
      <c r="J26" s="103"/>
      <c r="K26" s="106"/>
      <c r="L26" s="103"/>
      <c r="M26" s="106"/>
      <c r="N26" s="103"/>
      <c r="O26" s="103" t="s">
        <v>203</v>
      </c>
      <c r="P26" s="103" t="str">
        <f t="shared" si="0"/>
        <v>N1|Por Mejorar</v>
      </c>
      <c r="Q26" s="103" t="s">
        <v>194</v>
      </c>
      <c r="R26" s="103" t="str">
        <f>TRIM(tbl_BasePowerBI[[#This Row],[NOMBRE EJECUTIVO]])</f>
        <v>Carolina Diaz</v>
      </c>
      <c r="S26" s="103"/>
      <c r="T26" s="107"/>
      <c r="U26" s="107"/>
      <c r="V26" s="103"/>
      <c r="W26" s="108">
        <v>0</v>
      </c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>
        <v>26</v>
      </c>
    </row>
    <row r="27" spans="1:36" s="139" customFormat="1" ht="30" customHeight="1">
      <c r="A27" s="103" t="s">
        <v>0</v>
      </c>
      <c r="B27" s="104" t="s">
        <v>113</v>
      </c>
      <c r="C27" s="105" t="s">
        <v>220</v>
      </c>
      <c r="D27" s="148">
        <v>0</v>
      </c>
      <c r="E27" s="103" t="s">
        <v>202</v>
      </c>
      <c r="F27" s="103"/>
      <c r="G27" s="103"/>
      <c r="H27" s="104" t="s">
        <v>161</v>
      </c>
      <c r="I27" s="106"/>
      <c r="J27" s="103"/>
      <c r="K27" s="106"/>
      <c r="L27" s="103"/>
      <c r="M27" s="106"/>
      <c r="N27" s="103"/>
      <c r="O27" s="103" t="s">
        <v>203</v>
      </c>
      <c r="P27" s="103" t="str">
        <f t="shared" si="0"/>
        <v>N1|Por Mejorar</v>
      </c>
      <c r="Q27" s="103" t="s">
        <v>194</v>
      </c>
      <c r="R27" s="103" t="str">
        <f>TRIM(tbl_BasePowerBI[[#This Row],[NOMBRE EJECUTIVO]])</f>
        <v>Carolina Diaz</v>
      </c>
      <c r="S27" s="103"/>
      <c r="T27" s="107"/>
      <c r="U27" s="107"/>
      <c r="V27" s="103"/>
      <c r="W27" s="108">
        <v>0</v>
      </c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>
        <v>27</v>
      </c>
    </row>
    <row r="28" spans="1:36" s="139" customFormat="1" ht="30" customHeight="1">
      <c r="A28" s="103" t="s">
        <v>0</v>
      </c>
      <c r="B28" s="104" t="s">
        <v>113</v>
      </c>
      <c r="C28" s="105" t="s">
        <v>221</v>
      </c>
      <c r="D28" s="148">
        <v>0</v>
      </c>
      <c r="E28" s="103" t="s">
        <v>202</v>
      </c>
      <c r="F28" s="103"/>
      <c r="G28" s="103"/>
      <c r="H28" s="104" t="s">
        <v>161</v>
      </c>
      <c r="I28" s="106"/>
      <c r="J28" s="103"/>
      <c r="K28" s="106"/>
      <c r="L28" s="103"/>
      <c r="M28" s="106"/>
      <c r="N28" s="103"/>
      <c r="O28" s="103" t="s">
        <v>203</v>
      </c>
      <c r="P28" s="103" t="str">
        <f t="shared" si="0"/>
        <v>N1|Por Mejorar</v>
      </c>
      <c r="Q28" s="103" t="s">
        <v>194</v>
      </c>
      <c r="R28" s="103" t="str">
        <f>TRIM(tbl_BasePowerBI[[#This Row],[NOMBRE EJECUTIVO]])</f>
        <v>Carolina Diaz</v>
      </c>
      <c r="S28" s="103"/>
      <c r="T28" s="107"/>
      <c r="U28" s="107"/>
      <c r="V28" s="103"/>
      <c r="W28" s="108">
        <v>0</v>
      </c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>
        <v>28</v>
      </c>
    </row>
    <row r="29" spans="1:36" s="139" customFormat="1" ht="30" customHeight="1">
      <c r="A29" s="103" t="s">
        <v>0</v>
      </c>
      <c r="B29" s="104" t="s">
        <v>200</v>
      </c>
      <c r="C29" s="105" t="s">
        <v>222</v>
      </c>
      <c r="D29" s="148">
        <v>0</v>
      </c>
      <c r="E29" s="103" t="s">
        <v>202</v>
      </c>
      <c r="F29" s="103"/>
      <c r="G29" s="103"/>
      <c r="H29" s="104" t="s">
        <v>161</v>
      </c>
      <c r="I29" s="106"/>
      <c r="J29" s="103"/>
      <c r="K29" s="106"/>
      <c r="L29" s="103"/>
      <c r="M29" s="106"/>
      <c r="N29" s="103"/>
      <c r="O29" s="103" t="s">
        <v>203</v>
      </c>
      <c r="P29" s="103" t="str">
        <f t="shared" si="0"/>
        <v>N1|Por Mejorar</v>
      </c>
      <c r="Q29" s="103" t="s">
        <v>194</v>
      </c>
      <c r="R29" s="103" t="str">
        <f>TRIM(tbl_BasePowerBI[[#This Row],[NOMBRE EJECUTIVO]])</f>
        <v>Diana Contreras Rodriguez</v>
      </c>
      <c r="S29" s="103"/>
      <c r="T29" s="107"/>
      <c r="U29" s="107"/>
      <c r="V29" s="103"/>
      <c r="W29" s="108">
        <v>0</v>
      </c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>
        <v>29</v>
      </c>
    </row>
    <row r="30" spans="1:36" s="139" customFormat="1" ht="30" customHeight="1">
      <c r="A30" s="103" t="s">
        <v>0</v>
      </c>
      <c r="B30" s="104" t="s">
        <v>113</v>
      </c>
      <c r="C30" s="105" t="s">
        <v>223</v>
      </c>
      <c r="D30" s="148">
        <v>0</v>
      </c>
      <c r="E30" s="103" t="s">
        <v>202</v>
      </c>
      <c r="F30" s="103"/>
      <c r="G30" s="103"/>
      <c r="H30" s="104" t="s">
        <v>161</v>
      </c>
      <c r="I30" s="106"/>
      <c r="J30" s="103"/>
      <c r="K30" s="106"/>
      <c r="L30" s="103"/>
      <c r="M30" s="106"/>
      <c r="N30" s="103"/>
      <c r="O30" s="103" t="s">
        <v>203</v>
      </c>
      <c r="P30" s="103" t="str">
        <f t="shared" si="0"/>
        <v>N1|Por Mejorar</v>
      </c>
      <c r="Q30" s="103" t="s">
        <v>194</v>
      </c>
      <c r="R30" s="103" t="str">
        <f>TRIM(tbl_BasePowerBI[[#This Row],[NOMBRE EJECUTIVO]])</f>
        <v>Carolina Diaz</v>
      </c>
      <c r="S30" s="103"/>
      <c r="T30" s="107"/>
      <c r="U30" s="107"/>
      <c r="V30" s="103"/>
      <c r="W30" s="108">
        <v>0</v>
      </c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>
        <v>30</v>
      </c>
    </row>
    <row r="31" spans="1:36" s="139" customFormat="1" ht="30" customHeight="1">
      <c r="A31" s="98" t="s">
        <v>0</v>
      </c>
      <c r="B31" s="102" t="s">
        <v>112</v>
      </c>
      <c r="C31" s="109" t="s">
        <v>224</v>
      </c>
      <c r="D31" s="171">
        <v>28500000</v>
      </c>
      <c r="E31" s="98" t="s">
        <v>202</v>
      </c>
      <c r="F31" s="98"/>
      <c r="G31" s="98"/>
      <c r="H31" s="111" t="s">
        <v>225</v>
      </c>
      <c r="I31" s="106">
        <v>100</v>
      </c>
      <c r="J31" s="111" t="s">
        <v>226</v>
      </c>
      <c r="K31" s="99">
        <v>50</v>
      </c>
      <c r="L31" s="98"/>
      <c r="M31" s="99">
        <v>50</v>
      </c>
      <c r="N31" s="98"/>
      <c r="O31" s="112" t="s">
        <v>109</v>
      </c>
      <c r="P31" s="98" t="str">
        <f t="shared" si="0"/>
        <v>N1|En seguimiento</v>
      </c>
      <c r="Q31" s="98" t="s">
        <v>194</v>
      </c>
      <c r="R31" s="98" t="str">
        <f>TRIM(tbl_BasePowerBI[[#This Row],[NOMBRE EJECUTIVO]])</f>
        <v>Andrea Morales</v>
      </c>
      <c r="S31" s="112" t="s">
        <v>195</v>
      </c>
      <c r="T31" s="107">
        <v>46211</v>
      </c>
      <c r="U31" s="107">
        <v>46211</v>
      </c>
      <c r="V31" s="103"/>
      <c r="W31" s="172">
        <v>28500000</v>
      </c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>
        <v>31</v>
      </c>
    </row>
    <row r="32" spans="1:36" s="140" customFormat="1" ht="30" customHeight="1">
      <c r="A32" s="112" t="s">
        <v>0</v>
      </c>
      <c r="B32" s="112" t="s">
        <v>227</v>
      </c>
      <c r="C32" s="112" t="s">
        <v>228</v>
      </c>
      <c r="D32" s="149">
        <v>34000000</v>
      </c>
      <c r="E32" s="111" t="s">
        <v>229</v>
      </c>
      <c r="F32" s="112"/>
      <c r="G32" s="112"/>
      <c r="H32" s="111" t="s">
        <v>225</v>
      </c>
      <c r="I32" s="113">
        <v>100</v>
      </c>
      <c r="J32" s="111" t="s">
        <v>226</v>
      </c>
      <c r="K32" s="114">
        <v>50</v>
      </c>
      <c r="L32" s="112"/>
      <c r="M32" s="114">
        <v>50</v>
      </c>
      <c r="N32" s="112"/>
      <c r="O32" s="112" t="s">
        <v>109</v>
      </c>
      <c r="P32" s="112" t="str">
        <f>A32&amp;"|"&amp;O32</f>
        <v>N1|En seguimiento</v>
      </c>
      <c r="Q32" s="112" t="s">
        <v>164</v>
      </c>
      <c r="R32" s="112" t="str">
        <f>TRIM(tbl_BasePowerBI[[#This Row],[NOMBRE EJECUTIVO]])</f>
        <v>Andrea Morales</v>
      </c>
      <c r="S32" s="112" t="s">
        <v>195</v>
      </c>
      <c r="T32" s="115">
        <v>46238</v>
      </c>
      <c r="U32" s="115">
        <v>46239</v>
      </c>
      <c r="V32" s="150"/>
      <c r="W32" s="135">
        <v>34000000</v>
      </c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>
        <v>32</v>
      </c>
    </row>
    <row r="33" spans="1:38" s="139" customFormat="1" ht="30" customHeight="1">
      <c r="A33" s="103" t="s">
        <v>0</v>
      </c>
      <c r="B33" s="104" t="s">
        <v>112</v>
      </c>
      <c r="C33" s="105" t="s">
        <v>230</v>
      </c>
      <c r="D33" s="148">
        <v>0</v>
      </c>
      <c r="E33" s="103" t="s">
        <v>202</v>
      </c>
      <c r="F33" s="103"/>
      <c r="G33" s="103"/>
      <c r="H33" s="104" t="s">
        <v>161</v>
      </c>
      <c r="I33" s="106"/>
      <c r="J33" s="103"/>
      <c r="K33" s="106"/>
      <c r="L33" s="103"/>
      <c r="M33" s="106"/>
      <c r="N33" s="103"/>
      <c r="O33" s="103" t="s">
        <v>203</v>
      </c>
      <c r="P33" s="103" t="str">
        <f t="shared" si="0"/>
        <v>N1|Por Mejorar</v>
      </c>
      <c r="Q33" s="103" t="s">
        <v>194</v>
      </c>
      <c r="R33" s="103" t="str">
        <f>TRIM(tbl_BasePowerBI[[#This Row],[NOMBRE EJECUTIVO]])</f>
        <v>Andrea Morales</v>
      </c>
      <c r="S33" s="103"/>
      <c r="T33" s="107"/>
      <c r="U33" s="107"/>
      <c r="V33" s="103"/>
      <c r="W33" s="108">
        <v>0</v>
      </c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>
        <v>33</v>
      </c>
      <c r="AL33" s="136"/>
    </row>
    <row r="34" spans="1:38" s="139" customFormat="1" ht="30" customHeight="1">
      <c r="A34" s="103" t="s">
        <v>0</v>
      </c>
      <c r="B34" s="104" t="s">
        <v>112</v>
      </c>
      <c r="C34" s="105" t="s">
        <v>231</v>
      </c>
      <c r="D34" s="148">
        <v>0</v>
      </c>
      <c r="E34" s="103" t="s">
        <v>202</v>
      </c>
      <c r="F34" s="103"/>
      <c r="G34" s="103"/>
      <c r="H34" s="104" t="s">
        <v>161</v>
      </c>
      <c r="I34" s="106"/>
      <c r="J34" s="103"/>
      <c r="K34" s="106"/>
      <c r="L34" s="103"/>
      <c r="M34" s="106"/>
      <c r="N34" s="103"/>
      <c r="O34" s="103" t="s">
        <v>203</v>
      </c>
      <c r="P34" s="103" t="str">
        <f t="shared" si="0"/>
        <v>N1|Por Mejorar</v>
      </c>
      <c r="Q34" s="103" t="s">
        <v>194</v>
      </c>
      <c r="R34" s="103" t="str">
        <f>TRIM(tbl_BasePowerBI[[#This Row],[NOMBRE EJECUTIVO]])</f>
        <v>Andrea Morales</v>
      </c>
      <c r="S34" s="103"/>
      <c r="T34" s="107"/>
      <c r="U34" s="107"/>
      <c r="V34" s="103"/>
      <c r="W34" s="108">
        <v>0</v>
      </c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>
        <v>34</v>
      </c>
    </row>
    <row r="35" spans="1:38" s="139" customFormat="1" ht="30" customHeight="1">
      <c r="A35" s="103" t="s">
        <v>0</v>
      </c>
      <c r="B35" s="104" t="s">
        <v>115</v>
      </c>
      <c r="C35" s="105" t="s">
        <v>232</v>
      </c>
      <c r="D35" s="148">
        <v>0</v>
      </c>
      <c r="E35" s="103" t="s">
        <v>202</v>
      </c>
      <c r="F35" s="103"/>
      <c r="G35" s="103"/>
      <c r="H35" s="104" t="s">
        <v>161</v>
      </c>
      <c r="I35" s="106"/>
      <c r="J35" s="103"/>
      <c r="K35" s="106"/>
      <c r="L35" s="103"/>
      <c r="M35" s="106"/>
      <c r="N35" s="103"/>
      <c r="O35" s="103" t="s">
        <v>203</v>
      </c>
      <c r="P35" s="103" t="str">
        <f t="shared" ref="P35:P66" si="2">A35&amp;"|"&amp;O35</f>
        <v>N1|Por Mejorar</v>
      </c>
      <c r="Q35" s="103" t="s">
        <v>194</v>
      </c>
      <c r="R35" s="103" t="str">
        <f>TRIM(tbl_BasePowerBI[[#This Row],[NOMBRE EJECUTIVO]])</f>
        <v>Natalia Zambrano</v>
      </c>
      <c r="S35" s="103"/>
      <c r="T35" s="107"/>
      <c r="U35" s="107"/>
      <c r="V35" s="103"/>
      <c r="W35" s="108">
        <v>0</v>
      </c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>
        <v>35</v>
      </c>
      <c r="AL35" s="136"/>
    </row>
    <row r="36" spans="1:38" s="139" customFormat="1" ht="30" customHeight="1">
      <c r="A36" s="103" t="s">
        <v>0</v>
      </c>
      <c r="B36" s="104" t="s">
        <v>115</v>
      </c>
      <c r="C36" s="105" t="s">
        <v>233</v>
      </c>
      <c r="D36" s="148">
        <v>0</v>
      </c>
      <c r="E36" s="103" t="s">
        <v>202</v>
      </c>
      <c r="F36" s="103"/>
      <c r="G36" s="103"/>
      <c r="H36" s="104" t="s">
        <v>161</v>
      </c>
      <c r="I36" s="106"/>
      <c r="J36" s="103"/>
      <c r="K36" s="106"/>
      <c r="L36" s="103"/>
      <c r="M36" s="106"/>
      <c r="N36" s="103"/>
      <c r="O36" s="103" t="s">
        <v>203</v>
      </c>
      <c r="P36" s="103" t="str">
        <f t="shared" si="2"/>
        <v>N1|Por Mejorar</v>
      </c>
      <c r="Q36" s="103" t="s">
        <v>194</v>
      </c>
      <c r="R36" s="103" t="str">
        <f>TRIM(tbl_BasePowerBI[[#This Row],[NOMBRE EJECUTIVO]])</f>
        <v>Natalia Zambrano</v>
      </c>
      <c r="S36" s="103"/>
      <c r="T36" s="107"/>
      <c r="U36" s="107"/>
      <c r="V36" s="103"/>
      <c r="W36" s="108">
        <v>0</v>
      </c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>
        <v>36</v>
      </c>
      <c r="AL36" s="136"/>
    </row>
    <row r="37" spans="1:38" s="139" customFormat="1" ht="30" customHeight="1">
      <c r="A37" s="116" t="s">
        <v>0</v>
      </c>
      <c r="B37" s="116" t="s">
        <v>111</v>
      </c>
      <c r="C37" s="116" t="s">
        <v>234</v>
      </c>
      <c r="D37" s="151">
        <v>15000000</v>
      </c>
      <c r="E37" s="116" t="s">
        <v>235</v>
      </c>
      <c r="F37" s="116"/>
      <c r="G37" s="116"/>
      <c r="H37" s="116" t="s">
        <v>236</v>
      </c>
      <c r="I37" s="117">
        <v>100</v>
      </c>
      <c r="J37" s="116" t="s">
        <v>237</v>
      </c>
      <c r="K37" s="117">
        <v>100</v>
      </c>
      <c r="L37" s="116" t="s">
        <v>238</v>
      </c>
      <c r="M37" s="117">
        <v>100</v>
      </c>
      <c r="N37" s="116"/>
      <c r="O37" s="116" t="s">
        <v>110</v>
      </c>
      <c r="P37" s="116" t="str">
        <f t="shared" si="2"/>
        <v>N1|Cerrada</v>
      </c>
      <c r="Q37" s="116"/>
      <c r="R37" s="116" t="str">
        <f>TRIM(tbl_BasePowerBI[[#This Row],[NOMBRE EJECUTIVO]])</f>
        <v>Felipe Guillen</v>
      </c>
      <c r="S37" s="116" t="s">
        <v>165</v>
      </c>
      <c r="T37" s="118">
        <v>46198</v>
      </c>
      <c r="U37" s="118">
        <v>46198</v>
      </c>
      <c r="V37" s="154" t="s">
        <v>179</v>
      </c>
      <c r="W37" s="119">
        <v>32000000</v>
      </c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>
        <v>37</v>
      </c>
    </row>
    <row r="38" spans="1:38" s="139" customFormat="1" ht="30" customHeight="1">
      <c r="A38" s="98" t="s">
        <v>0</v>
      </c>
      <c r="B38" s="98" t="s">
        <v>112</v>
      </c>
      <c r="C38" s="98" t="s">
        <v>239</v>
      </c>
      <c r="D38" s="145">
        <v>50000000</v>
      </c>
      <c r="E38" s="102" t="s">
        <v>240</v>
      </c>
      <c r="F38" s="98"/>
      <c r="G38" s="98"/>
      <c r="H38" s="102" t="s">
        <v>225</v>
      </c>
      <c r="I38" s="99">
        <v>100</v>
      </c>
      <c r="J38" s="98" t="s">
        <v>241</v>
      </c>
      <c r="K38" s="99">
        <v>100</v>
      </c>
      <c r="L38" s="98" t="s">
        <v>242</v>
      </c>
      <c r="M38" s="99">
        <v>50</v>
      </c>
      <c r="N38" s="98"/>
      <c r="O38" s="98" t="s">
        <v>109</v>
      </c>
      <c r="P38" s="98" t="str">
        <f t="shared" si="2"/>
        <v>N1|En seguimiento</v>
      </c>
      <c r="Q38" s="98" t="s">
        <v>194</v>
      </c>
      <c r="R38" s="98" t="str">
        <f>TRIM(tbl_BasePowerBI[[#This Row],[NOMBRE EJECUTIVO]])</f>
        <v>Andrea Morales</v>
      </c>
      <c r="S38" s="98" t="s">
        <v>195</v>
      </c>
      <c r="T38" s="100">
        <v>46205</v>
      </c>
      <c r="U38" s="107">
        <v>46205</v>
      </c>
      <c r="V38" s="146" t="s">
        <v>243</v>
      </c>
      <c r="W38" s="147">
        <v>76000000</v>
      </c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>
        <v>38</v>
      </c>
    </row>
    <row r="39" spans="1:38" s="139" customFormat="1" ht="30" customHeight="1">
      <c r="A39" s="98" t="s">
        <v>0</v>
      </c>
      <c r="B39" s="98" t="s">
        <v>113</v>
      </c>
      <c r="C39" s="98" t="s">
        <v>244</v>
      </c>
      <c r="D39" s="145">
        <v>35000000</v>
      </c>
      <c r="E39" s="102" t="s">
        <v>202</v>
      </c>
      <c r="F39" s="98"/>
      <c r="G39" s="98"/>
      <c r="H39" s="102" t="s">
        <v>225</v>
      </c>
      <c r="I39" s="99">
        <v>100</v>
      </c>
      <c r="J39" s="102" t="s">
        <v>226</v>
      </c>
      <c r="K39" s="99">
        <v>100</v>
      </c>
      <c r="L39" s="98"/>
      <c r="M39" s="99"/>
      <c r="N39" s="98"/>
      <c r="O39" s="98" t="s">
        <v>109</v>
      </c>
      <c r="P39" s="98" t="str">
        <f t="shared" si="2"/>
        <v>N1|En seguimiento</v>
      </c>
      <c r="Q39" s="98" t="s">
        <v>164</v>
      </c>
      <c r="R39" s="98" t="str">
        <f>TRIM(tbl_BasePowerBI[[#This Row],[NOMBRE EJECUTIVO]])</f>
        <v>Carolina Diaz</v>
      </c>
      <c r="S39" s="98" t="s">
        <v>195</v>
      </c>
      <c r="T39" s="100">
        <v>46212</v>
      </c>
      <c r="U39" s="100">
        <v>46212</v>
      </c>
      <c r="V39" s="146" t="s">
        <v>245</v>
      </c>
      <c r="W39" s="101">
        <v>39000000</v>
      </c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>
        <v>39</v>
      </c>
    </row>
    <row r="40" spans="1:38" s="139" customFormat="1" ht="30" customHeight="1">
      <c r="A40" s="98" t="s">
        <v>0</v>
      </c>
      <c r="B40" s="98" t="s">
        <v>113</v>
      </c>
      <c r="C40" s="98" t="s">
        <v>246</v>
      </c>
      <c r="D40" s="145">
        <v>40000000</v>
      </c>
      <c r="E40" s="102" t="s">
        <v>202</v>
      </c>
      <c r="F40" s="98"/>
      <c r="G40" s="98"/>
      <c r="H40" s="102" t="s">
        <v>225</v>
      </c>
      <c r="I40" s="99">
        <v>100</v>
      </c>
      <c r="J40" s="102" t="s">
        <v>226</v>
      </c>
      <c r="K40" s="99">
        <v>100</v>
      </c>
      <c r="L40" s="98" t="s">
        <v>247</v>
      </c>
      <c r="M40" s="99">
        <v>100</v>
      </c>
      <c r="N40" s="98"/>
      <c r="O40" s="98" t="s">
        <v>248</v>
      </c>
      <c r="P40" s="98" t="str">
        <f t="shared" si="2"/>
        <v>N1|no aprobada</v>
      </c>
      <c r="Q40" s="98" t="s">
        <v>164</v>
      </c>
      <c r="R40" s="98" t="str">
        <f>TRIM(tbl_BasePowerBI[[#This Row],[NOMBRE EJECUTIVO]])</f>
        <v>Carolina Diaz</v>
      </c>
      <c r="S40" s="98" t="s">
        <v>195</v>
      </c>
      <c r="T40" s="100">
        <v>46212</v>
      </c>
      <c r="U40" s="100">
        <v>46212</v>
      </c>
      <c r="V40" s="146" t="s">
        <v>249</v>
      </c>
      <c r="W40" s="101">
        <v>39420000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>
        <v>40</v>
      </c>
    </row>
    <row r="41" spans="1:38" s="139" customFormat="1" ht="30" customHeight="1">
      <c r="A41" s="98" t="s">
        <v>0</v>
      </c>
      <c r="B41" s="98" t="s">
        <v>113</v>
      </c>
      <c r="C41" s="98" t="s">
        <v>250</v>
      </c>
      <c r="D41" s="145">
        <v>35000000</v>
      </c>
      <c r="E41" s="102" t="s">
        <v>202</v>
      </c>
      <c r="F41" s="98"/>
      <c r="G41" s="98"/>
      <c r="H41" s="102" t="s">
        <v>225</v>
      </c>
      <c r="I41" s="99">
        <v>100</v>
      </c>
      <c r="J41" s="102" t="s">
        <v>226</v>
      </c>
      <c r="K41" s="99">
        <v>100</v>
      </c>
      <c r="L41" s="98"/>
      <c r="M41" s="99"/>
      <c r="N41" s="98"/>
      <c r="O41" s="98" t="s">
        <v>109</v>
      </c>
      <c r="P41" s="98" t="str">
        <f t="shared" si="2"/>
        <v>N1|En seguimiento</v>
      </c>
      <c r="Q41" s="98" t="s">
        <v>164</v>
      </c>
      <c r="R41" s="98" t="str">
        <f>TRIM(tbl_BasePowerBI[[#This Row],[NOMBRE EJECUTIVO]])</f>
        <v>Carolina Diaz</v>
      </c>
      <c r="S41" s="98" t="s">
        <v>195</v>
      </c>
      <c r="T41" s="100">
        <v>46213</v>
      </c>
      <c r="U41" s="100">
        <v>46213</v>
      </c>
      <c r="V41" s="146" t="s">
        <v>251</v>
      </c>
      <c r="W41" s="101">
        <v>39000000</v>
      </c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>
        <v>41</v>
      </c>
    </row>
    <row r="42" spans="1:38" s="139" customFormat="1" ht="30" customHeight="1">
      <c r="A42" s="98" t="s">
        <v>0</v>
      </c>
      <c r="B42" s="98" t="s">
        <v>115</v>
      </c>
      <c r="C42" s="98" t="s">
        <v>252</v>
      </c>
      <c r="D42" s="145">
        <v>30000000</v>
      </c>
      <c r="E42" s="102" t="s">
        <v>253</v>
      </c>
      <c r="F42" s="98"/>
      <c r="G42" s="98"/>
      <c r="H42" s="102" t="s">
        <v>225</v>
      </c>
      <c r="I42" s="99">
        <v>100</v>
      </c>
      <c r="J42" s="102" t="s">
        <v>226</v>
      </c>
      <c r="K42" s="99">
        <v>100</v>
      </c>
      <c r="L42" s="98"/>
      <c r="M42" s="99">
        <v>50</v>
      </c>
      <c r="N42" s="98"/>
      <c r="O42" s="98" t="s">
        <v>109</v>
      </c>
      <c r="P42" s="98" t="str">
        <f t="shared" si="2"/>
        <v>N1|En seguimiento</v>
      </c>
      <c r="Q42" s="98" t="s">
        <v>164</v>
      </c>
      <c r="R42" s="98" t="str">
        <f>TRIM(tbl_BasePowerBI[[#This Row],[NOMBRE EJECUTIVO]])</f>
        <v>Natalia Zambrano</v>
      </c>
      <c r="S42" s="98" t="s">
        <v>195</v>
      </c>
      <c r="T42" s="100">
        <v>46213</v>
      </c>
      <c r="U42" s="107">
        <v>46213</v>
      </c>
      <c r="V42" s="146" t="s">
        <v>254</v>
      </c>
      <c r="W42" s="147">
        <v>32600000</v>
      </c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>
        <v>42</v>
      </c>
    </row>
    <row r="43" spans="1:38" s="139" customFormat="1" ht="30" customHeight="1">
      <c r="A43" s="98" t="s">
        <v>1</v>
      </c>
      <c r="B43" s="102" t="s">
        <v>116</v>
      </c>
      <c r="C43" s="98" t="s">
        <v>255</v>
      </c>
      <c r="D43" s="148" t="s">
        <v>256</v>
      </c>
      <c r="E43" s="98" t="s">
        <v>257</v>
      </c>
      <c r="F43" s="98"/>
      <c r="G43" s="98"/>
      <c r="H43" s="102" t="s">
        <v>258</v>
      </c>
      <c r="I43" s="99">
        <v>100</v>
      </c>
      <c r="J43" s="98" t="s">
        <v>225</v>
      </c>
      <c r="K43" s="99">
        <v>100</v>
      </c>
      <c r="L43" s="98" t="s">
        <v>226</v>
      </c>
      <c r="M43" s="99">
        <v>50</v>
      </c>
      <c r="N43" s="98" t="s">
        <v>109</v>
      </c>
      <c r="O43" s="98" t="s">
        <v>109</v>
      </c>
      <c r="P43" s="98" t="str">
        <f t="shared" si="2"/>
        <v>N2|En seguimiento</v>
      </c>
      <c r="Q43" s="98" t="s">
        <v>164</v>
      </c>
      <c r="R43" s="98" t="str">
        <f>TRIM(tbl_BasePowerBI[[#This Row],[NOMBRE EJECUTIVO]])</f>
        <v>Camilo Prada</v>
      </c>
      <c r="S43" s="98" t="s">
        <v>165</v>
      </c>
      <c r="T43" s="100">
        <v>46177</v>
      </c>
      <c r="U43" s="107">
        <v>46196</v>
      </c>
      <c r="V43" s="146" t="s">
        <v>259</v>
      </c>
      <c r="W43" s="147">
        <v>30000000</v>
      </c>
      <c r="X43" s="86"/>
      <c r="Y43" s="86"/>
      <c r="Z43" s="86" t="s">
        <v>260</v>
      </c>
      <c r="AA43" s="88" t="s">
        <v>261</v>
      </c>
      <c r="AB43" s="89" t="s">
        <v>0</v>
      </c>
      <c r="AC43" s="89" t="s">
        <v>0</v>
      </c>
      <c r="AD43" s="89" t="s">
        <v>203</v>
      </c>
      <c r="AE43" s="90" t="e" vm="1">
        <v>#VALUE!</v>
      </c>
      <c r="AF43" s="89" t="s">
        <v>262</v>
      </c>
      <c r="AG43" s="89" t="str">
        <f t="shared" ref="AG43:AG52" si="3">AC43&amp;"|"&amp;AD43</f>
        <v>N1|Por Mejorar</v>
      </c>
      <c r="AH43" s="86"/>
      <c r="AI43" s="86"/>
      <c r="AJ43" s="86">
        <v>43</v>
      </c>
    </row>
    <row r="44" spans="1:38" s="139" customFormat="1" ht="51" customHeight="1">
      <c r="A44" s="98" t="s">
        <v>1</v>
      </c>
      <c r="B44" s="102" t="s">
        <v>116</v>
      </c>
      <c r="C44" s="98" t="s">
        <v>263</v>
      </c>
      <c r="D44" s="145">
        <v>42050587</v>
      </c>
      <c r="E44" s="98" t="s">
        <v>264</v>
      </c>
      <c r="F44" s="98"/>
      <c r="G44" s="98"/>
      <c r="H44" s="102" t="s">
        <v>265</v>
      </c>
      <c r="I44" s="99">
        <v>100</v>
      </c>
      <c r="J44" s="98" t="s">
        <v>225</v>
      </c>
      <c r="K44" s="99">
        <v>100</v>
      </c>
      <c r="L44" s="98" t="s">
        <v>266</v>
      </c>
      <c r="M44" s="99">
        <v>100</v>
      </c>
      <c r="N44" s="98"/>
      <c r="O44" s="98" t="s">
        <v>109</v>
      </c>
      <c r="P44" s="98" t="str">
        <f t="shared" si="2"/>
        <v>N2|En seguimiento</v>
      </c>
      <c r="Q44" s="98" t="s">
        <v>164</v>
      </c>
      <c r="R44" s="98" t="str">
        <f>TRIM(tbl_BasePowerBI[[#This Row],[NOMBRE EJECUTIVO]])</f>
        <v>Camilo Prada</v>
      </c>
      <c r="S44" s="98" t="s">
        <v>165</v>
      </c>
      <c r="T44" s="100">
        <v>46196</v>
      </c>
      <c r="U44" s="100">
        <v>46206</v>
      </c>
      <c r="V44" s="146" t="s">
        <v>267</v>
      </c>
      <c r="W44" s="110">
        <v>30000000</v>
      </c>
      <c r="X44" s="86"/>
      <c r="Y44" s="86"/>
      <c r="Z44" s="86" t="s">
        <v>268</v>
      </c>
      <c r="AA44" s="88" t="s">
        <v>269</v>
      </c>
      <c r="AB44" s="89" t="s">
        <v>1</v>
      </c>
      <c r="AC44" s="89" t="s">
        <v>0</v>
      </c>
      <c r="AD44" s="89" t="s">
        <v>109</v>
      </c>
      <c r="AE44" s="90" t="e" vm="2">
        <v>#VALUE!</v>
      </c>
      <c r="AF44" s="89" t="s">
        <v>164</v>
      </c>
      <c r="AG44" s="89" t="str">
        <f t="shared" si="3"/>
        <v>N1|En seguimiento</v>
      </c>
      <c r="AH44" s="86"/>
      <c r="AI44" s="86"/>
      <c r="AJ44" s="86">
        <v>44</v>
      </c>
    </row>
    <row r="45" spans="1:38" s="139" customFormat="1" ht="30" customHeight="1">
      <c r="A45" s="103" t="s">
        <v>1</v>
      </c>
      <c r="B45" s="104" t="s">
        <v>116</v>
      </c>
      <c r="C45" s="103" t="s">
        <v>270</v>
      </c>
      <c r="D45" s="148">
        <v>24015738</v>
      </c>
      <c r="E45" s="103" t="s">
        <v>271</v>
      </c>
      <c r="F45" s="103"/>
      <c r="G45" s="103"/>
      <c r="H45" s="104" t="s">
        <v>161</v>
      </c>
      <c r="I45" s="106">
        <v>0</v>
      </c>
      <c r="J45" s="103"/>
      <c r="K45" s="106">
        <v>0</v>
      </c>
      <c r="L45" s="103"/>
      <c r="M45" s="106">
        <v>0</v>
      </c>
      <c r="N45" s="103"/>
      <c r="O45" s="103" t="s">
        <v>203</v>
      </c>
      <c r="P45" s="103" t="str">
        <f t="shared" si="2"/>
        <v>N2|Por Mejorar</v>
      </c>
      <c r="Q45" s="103" t="s">
        <v>194</v>
      </c>
      <c r="R45" s="103" t="str">
        <f>TRIM(tbl_BasePowerBI[[#This Row],[NOMBRE EJECUTIVO]])</f>
        <v>Camilo Prada</v>
      </c>
      <c r="S45" s="103"/>
      <c r="T45" s="107"/>
      <c r="U45" s="107"/>
      <c r="V45" s="103"/>
      <c r="W45" s="108">
        <v>0</v>
      </c>
      <c r="X45" s="86"/>
      <c r="Y45" s="86"/>
      <c r="Z45" s="86" t="s">
        <v>272</v>
      </c>
      <c r="AA45" s="88" t="s">
        <v>273</v>
      </c>
      <c r="AB45" s="89" t="s">
        <v>2</v>
      </c>
      <c r="AC45" s="89" t="s">
        <v>0</v>
      </c>
      <c r="AD45" s="89" t="s">
        <v>110</v>
      </c>
      <c r="AE45" s="90" t="e" vm="3">
        <v>#VALUE!</v>
      </c>
      <c r="AF45" s="89" t="s">
        <v>194</v>
      </c>
      <c r="AG45" s="89" t="str">
        <f t="shared" si="3"/>
        <v>N1|Cerrada</v>
      </c>
      <c r="AH45" s="86"/>
      <c r="AI45" s="86"/>
      <c r="AJ45" s="86">
        <v>45</v>
      </c>
    </row>
    <row r="46" spans="1:38" s="139" customFormat="1" ht="57.75" customHeight="1">
      <c r="A46" s="120" t="s">
        <v>1</v>
      </c>
      <c r="B46" s="104" t="s">
        <v>116</v>
      </c>
      <c r="C46" s="103" t="s">
        <v>274</v>
      </c>
      <c r="D46" s="148">
        <v>0</v>
      </c>
      <c r="E46" s="103" t="s">
        <v>275</v>
      </c>
      <c r="F46" s="103"/>
      <c r="G46" s="103"/>
      <c r="H46" s="104" t="s">
        <v>161</v>
      </c>
      <c r="I46" s="106">
        <v>0</v>
      </c>
      <c r="J46" s="103"/>
      <c r="K46" s="106">
        <v>0</v>
      </c>
      <c r="L46" s="103"/>
      <c r="M46" s="106">
        <v>0</v>
      </c>
      <c r="N46" s="103"/>
      <c r="O46" s="103" t="s">
        <v>203</v>
      </c>
      <c r="P46" s="103" t="str">
        <f t="shared" si="2"/>
        <v>N2|Por Mejorar</v>
      </c>
      <c r="Q46" s="103" t="s">
        <v>194</v>
      </c>
      <c r="R46" s="103" t="str">
        <f>TRIM(tbl_BasePowerBI[[#This Row],[NOMBRE EJECUTIVO]])</f>
        <v>Camilo Prada</v>
      </c>
      <c r="S46" s="103"/>
      <c r="T46" s="107"/>
      <c r="U46" s="107"/>
      <c r="V46" s="103"/>
      <c r="W46" s="108">
        <v>0</v>
      </c>
      <c r="X46" s="86"/>
      <c r="Y46" s="86"/>
      <c r="Z46" s="86" t="s">
        <v>276</v>
      </c>
      <c r="AA46" s="88" t="s">
        <v>277</v>
      </c>
      <c r="AB46" s="89" t="s">
        <v>4</v>
      </c>
      <c r="AC46" s="89" t="s">
        <v>1</v>
      </c>
      <c r="AD46" s="89" t="s">
        <v>109</v>
      </c>
      <c r="AE46" s="90" t="e" vm="4">
        <v>#VALUE!</v>
      </c>
      <c r="AF46" s="89"/>
      <c r="AG46" s="89" t="str">
        <f t="shared" si="3"/>
        <v>N2|En seguimiento</v>
      </c>
      <c r="AH46" s="86"/>
      <c r="AI46" s="86"/>
      <c r="AJ46" s="86">
        <v>46</v>
      </c>
    </row>
    <row r="47" spans="1:38" s="139" customFormat="1" ht="30" customHeight="1">
      <c r="A47" s="103" t="s">
        <v>1</v>
      </c>
      <c r="B47" s="104" t="s">
        <v>116</v>
      </c>
      <c r="C47" s="103" t="s">
        <v>278</v>
      </c>
      <c r="D47" s="148">
        <v>0</v>
      </c>
      <c r="E47" s="103" t="s">
        <v>279</v>
      </c>
      <c r="F47" s="103"/>
      <c r="G47" s="103"/>
      <c r="H47" s="104" t="s">
        <v>161</v>
      </c>
      <c r="I47" s="106">
        <v>0</v>
      </c>
      <c r="J47" s="103"/>
      <c r="K47" s="106">
        <v>0</v>
      </c>
      <c r="L47" s="103"/>
      <c r="M47" s="106">
        <v>0</v>
      </c>
      <c r="N47" s="103"/>
      <c r="O47" s="103" t="s">
        <v>203</v>
      </c>
      <c r="P47" s="103" t="str">
        <f t="shared" si="2"/>
        <v>N2|Por Mejorar</v>
      </c>
      <c r="Q47" s="103" t="s">
        <v>194</v>
      </c>
      <c r="R47" s="103" t="str">
        <f>TRIM(tbl_BasePowerBI[[#This Row],[NOMBRE EJECUTIVO]])</f>
        <v>Camilo Prada</v>
      </c>
      <c r="S47" s="103"/>
      <c r="T47" s="107"/>
      <c r="U47" s="107"/>
      <c r="V47" s="121"/>
      <c r="W47" s="108">
        <v>0</v>
      </c>
      <c r="X47" s="86"/>
      <c r="Y47" s="86"/>
      <c r="Z47" s="86" t="s">
        <v>165</v>
      </c>
      <c r="AA47" s="89"/>
      <c r="AB47" s="89" t="s">
        <v>280</v>
      </c>
      <c r="AC47" s="89" t="s">
        <v>1</v>
      </c>
      <c r="AD47" s="89" t="s">
        <v>110</v>
      </c>
      <c r="AE47" s="90" t="e" vm="5">
        <v>#VALUE!</v>
      </c>
      <c r="AF47" s="89"/>
      <c r="AG47" s="89" t="str">
        <f t="shared" si="3"/>
        <v>N2|Cerrada</v>
      </c>
      <c r="AH47" s="86"/>
      <c r="AI47" s="86"/>
      <c r="AJ47" s="86">
        <v>47</v>
      </c>
    </row>
    <row r="48" spans="1:38" s="139" customFormat="1" ht="48.75" customHeight="1">
      <c r="A48" s="98" t="s">
        <v>1</v>
      </c>
      <c r="B48" s="102" t="s">
        <v>117</v>
      </c>
      <c r="C48" s="98" t="s">
        <v>281</v>
      </c>
      <c r="D48" s="145">
        <v>28067985</v>
      </c>
      <c r="E48" s="98" t="s">
        <v>282</v>
      </c>
      <c r="F48" s="98"/>
      <c r="G48" s="98"/>
      <c r="H48" s="102" t="s">
        <v>161</v>
      </c>
      <c r="I48" s="99">
        <v>100</v>
      </c>
      <c r="J48" s="98" t="s">
        <v>225</v>
      </c>
      <c r="K48" s="99">
        <v>100</v>
      </c>
      <c r="L48" s="102" t="s">
        <v>283</v>
      </c>
      <c r="M48" s="99">
        <v>100</v>
      </c>
      <c r="N48" s="98"/>
      <c r="O48" s="98" t="s">
        <v>109</v>
      </c>
      <c r="P48" s="98" t="str">
        <f t="shared" si="2"/>
        <v>N2|En seguimiento</v>
      </c>
      <c r="Q48" s="98" t="s">
        <v>164</v>
      </c>
      <c r="R48" s="98" t="str">
        <f>TRIM(tbl_BasePowerBI[[#This Row],[NOMBRE EJECUTIVO]])</f>
        <v>Luisa Escobar</v>
      </c>
      <c r="S48" s="98" t="s">
        <v>165</v>
      </c>
      <c r="T48" s="100">
        <v>46177</v>
      </c>
      <c r="U48" s="100">
        <v>46197</v>
      </c>
      <c r="V48" s="146" t="s">
        <v>284</v>
      </c>
      <c r="W48" s="101">
        <v>54244200</v>
      </c>
      <c r="X48" s="86"/>
      <c r="Y48" s="86"/>
      <c r="Z48" s="86" t="s">
        <v>195</v>
      </c>
      <c r="AA48" s="89"/>
      <c r="AB48" s="89" t="s">
        <v>131</v>
      </c>
      <c r="AC48" s="89" t="s">
        <v>2</v>
      </c>
      <c r="AD48" s="89" t="s">
        <v>203</v>
      </c>
      <c r="AE48" s="90" t="e" vm="6">
        <v>#VALUE!</v>
      </c>
      <c r="AF48" s="89"/>
      <c r="AG48" s="89" t="str">
        <f t="shared" si="3"/>
        <v>N3|Por Mejorar</v>
      </c>
      <c r="AH48" s="86"/>
      <c r="AI48" s="86"/>
      <c r="AJ48" s="86">
        <v>48</v>
      </c>
    </row>
    <row r="49" spans="1:36" s="139" customFormat="1" ht="51" customHeight="1">
      <c r="A49" s="98" t="s">
        <v>1</v>
      </c>
      <c r="B49" s="102" t="s">
        <v>117</v>
      </c>
      <c r="C49" s="98" t="s">
        <v>285</v>
      </c>
      <c r="D49" s="145">
        <v>13706000</v>
      </c>
      <c r="E49" s="98" t="s">
        <v>286</v>
      </c>
      <c r="F49" s="98"/>
      <c r="G49" s="98"/>
      <c r="H49" s="102" t="s">
        <v>287</v>
      </c>
      <c r="I49" s="99">
        <v>100</v>
      </c>
      <c r="J49" s="102" t="s">
        <v>225</v>
      </c>
      <c r="K49" s="99">
        <v>100</v>
      </c>
      <c r="L49" s="102" t="s">
        <v>226</v>
      </c>
      <c r="M49" s="99">
        <v>50</v>
      </c>
      <c r="N49" s="98"/>
      <c r="O49" s="98" t="s">
        <v>109</v>
      </c>
      <c r="P49" s="98" t="str">
        <f t="shared" si="2"/>
        <v>N2|En seguimiento</v>
      </c>
      <c r="Q49" s="98" t="s">
        <v>164</v>
      </c>
      <c r="R49" s="98" t="str">
        <f>TRIM(tbl_BasePowerBI[[#This Row],[NOMBRE EJECUTIVO]])</f>
        <v>Luisa Escobar</v>
      </c>
      <c r="S49" s="98" t="s">
        <v>165</v>
      </c>
      <c r="T49" s="100">
        <v>46177</v>
      </c>
      <c r="U49" s="107">
        <v>46198</v>
      </c>
      <c r="V49" s="121" t="s">
        <v>288</v>
      </c>
      <c r="W49" s="147">
        <v>30200000</v>
      </c>
      <c r="X49" s="86"/>
      <c r="Y49" s="86"/>
      <c r="Z49" s="86" t="s">
        <v>218</v>
      </c>
      <c r="AA49" s="89"/>
      <c r="AB49" s="89"/>
      <c r="AC49" s="89" t="s">
        <v>2</v>
      </c>
      <c r="AD49" s="89" t="s">
        <v>109</v>
      </c>
      <c r="AE49" s="90" t="e" vm="7">
        <v>#VALUE!</v>
      </c>
      <c r="AF49" s="89"/>
      <c r="AG49" s="89" t="str">
        <f t="shared" si="3"/>
        <v>N3|En seguimiento</v>
      </c>
      <c r="AH49" s="86"/>
      <c r="AI49" s="86"/>
      <c r="AJ49" s="86">
        <v>49</v>
      </c>
    </row>
    <row r="50" spans="1:36" s="139" customFormat="1" ht="30" customHeight="1">
      <c r="A50" s="103" t="s">
        <v>1</v>
      </c>
      <c r="B50" s="104" t="s">
        <v>117</v>
      </c>
      <c r="C50" s="103" t="s">
        <v>289</v>
      </c>
      <c r="D50" s="148">
        <v>0</v>
      </c>
      <c r="E50" s="103" t="s">
        <v>290</v>
      </c>
      <c r="F50" s="103"/>
      <c r="G50" s="103"/>
      <c r="H50" s="104" t="s">
        <v>161</v>
      </c>
      <c r="I50" s="106">
        <v>0</v>
      </c>
      <c r="J50" s="103"/>
      <c r="K50" s="106">
        <v>0</v>
      </c>
      <c r="L50" s="103"/>
      <c r="M50" s="106">
        <v>0</v>
      </c>
      <c r="N50" s="103"/>
      <c r="O50" s="103" t="s">
        <v>203</v>
      </c>
      <c r="P50" s="103" t="str">
        <f t="shared" si="2"/>
        <v>N2|Por Mejorar</v>
      </c>
      <c r="Q50" s="103" t="s">
        <v>194</v>
      </c>
      <c r="R50" s="103" t="str">
        <f>TRIM(tbl_BasePowerBI[[#This Row],[NOMBRE EJECUTIVO]])</f>
        <v>Luisa Escobar</v>
      </c>
      <c r="S50" s="103"/>
      <c r="T50" s="107"/>
      <c r="U50" s="107"/>
      <c r="V50" s="103"/>
      <c r="W50" s="108">
        <v>0</v>
      </c>
      <c r="X50" s="86"/>
      <c r="Y50" s="86"/>
      <c r="Z50" s="86" t="s">
        <v>291</v>
      </c>
      <c r="AA50" s="89"/>
      <c r="AB50" s="89"/>
      <c r="AC50" s="89" t="s">
        <v>2</v>
      </c>
      <c r="AD50" s="89" t="s">
        <v>110</v>
      </c>
      <c r="AE50" s="90" t="e" vm="8">
        <v>#VALUE!</v>
      </c>
      <c r="AF50" s="89"/>
      <c r="AG50" s="89" t="str">
        <f t="shared" si="3"/>
        <v>N3|Cerrada</v>
      </c>
      <c r="AH50" s="86"/>
      <c r="AI50" s="86"/>
      <c r="AJ50" s="86">
        <v>50</v>
      </c>
    </row>
    <row r="51" spans="1:36" s="139" customFormat="1" ht="30" customHeight="1">
      <c r="A51" s="103" t="s">
        <v>1</v>
      </c>
      <c r="B51" s="104" t="s">
        <v>119</v>
      </c>
      <c r="C51" s="103" t="s">
        <v>292</v>
      </c>
      <c r="D51" s="148">
        <v>17507282</v>
      </c>
      <c r="E51" s="103" t="s">
        <v>293</v>
      </c>
      <c r="F51" s="103"/>
      <c r="G51" s="103"/>
      <c r="H51" s="104" t="s">
        <v>161</v>
      </c>
      <c r="I51" s="106">
        <v>0</v>
      </c>
      <c r="J51" s="103"/>
      <c r="K51" s="106">
        <v>0</v>
      </c>
      <c r="L51" s="103"/>
      <c r="M51" s="106">
        <v>0</v>
      </c>
      <c r="N51" s="103"/>
      <c r="O51" s="103" t="s">
        <v>203</v>
      </c>
      <c r="P51" s="103" t="str">
        <f t="shared" si="2"/>
        <v>N2|Por Mejorar</v>
      </c>
      <c r="Q51" s="103" t="s">
        <v>194</v>
      </c>
      <c r="R51" s="103" t="str">
        <f>TRIM(tbl_BasePowerBI[[#This Row],[NOMBRE EJECUTIVO]])</f>
        <v>Lina Lemus</v>
      </c>
      <c r="S51" s="103"/>
      <c r="T51" s="107"/>
      <c r="U51" s="107"/>
      <c r="V51" s="103"/>
      <c r="W51" s="108">
        <v>0</v>
      </c>
      <c r="X51" s="86"/>
      <c r="Y51" s="86"/>
      <c r="Z51" s="86" t="s">
        <v>294</v>
      </c>
      <c r="AA51" s="89"/>
      <c r="AB51" s="89"/>
      <c r="AC51" s="89" t="s">
        <v>3</v>
      </c>
      <c r="AD51" s="89" t="s">
        <v>203</v>
      </c>
      <c r="AE51" s="90" t="e" vm="9">
        <v>#VALUE!</v>
      </c>
      <c r="AF51" s="89"/>
      <c r="AG51" s="89" t="str">
        <f t="shared" si="3"/>
        <v>N4|Por Mejorar</v>
      </c>
      <c r="AH51" s="86"/>
      <c r="AI51" s="86"/>
      <c r="AJ51" s="86">
        <v>51</v>
      </c>
    </row>
    <row r="52" spans="1:36" s="139" customFormat="1" ht="30" customHeight="1">
      <c r="A52" s="103" t="s">
        <v>1</v>
      </c>
      <c r="B52" s="104" t="s">
        <v>119</v>
      </c>
      <c r="C52" s="103" t="s">
        <v>295</v>
      </c>
      <c r="D52" s="148">
        <v>86896644</v>
      </c>
      <c r="E52" s="103" t="s">
        <v>296</v>
      </c>
      <c r="F52" s="103"/>
      <c r="G52" s="103"/>
      <c r="H52" s="104" t="s">
        <v>161</v>
      </c>
      <c r="I52" s="106">
        <v>0</v>
      </c>
      <c r="J52" s="103"/>
      <c r="K52" s="106">
        <v>0</v>
      </c>
      <c r="L52" s="103"/>
      <c r="M52" s="106">
        <v>0</v>
      </c>
      <c r="N52" s="103"/>
      <c r="O52" s="103" t="s">
        <v>203</v>
      </c>
      <c r="P52" s="103" t="str">
        <f t="shared" si="2"/>
        <v>N2|Por Mejorar</v>
      </c>
      <c r="Q52" s="103" t="s">
        <v>194</v>
      </c>
      <c r="R52" s="103" t="str">
        <f>TRIM(tbl_BasePowerBI[[#This Row],[NOMBRE EJECUTIVO]])</f>
        <v>Lina Lemus</v>
      </c>
      <c r="S52" s="103"/>
      <c r="T52" s="107"/>
      <c r="U52" s="107"/>
      <c r="V52" s="103"/>
      <c r="W52" s="108">
        <v>0</v>
      </c>
      <c r="X52" s="86"/>
      <c r="Y52" s="86"/>
      <c r="Z52" s="86" t="s">
        <v>297</v>
      </c>
      <c r="AA52" s="89"/>
      <c r="AB52" s="89"/>
      <c r="AC52" s="89" t="s">
        <v>3</v>
      </c>
      <c r="AD52" s="89" t="s">
        <v>109</v>
      </c>
      <c r="AE52" s="90" t="e" vm="10">
        <v>#VALUE!</v>
      </c>
      <c r="AF52" s="89"/>
      <c r="AG52" s="89" t="str">
        <f t="shared" si="3"/>
        <v>N4|En seguimiento</v>
      </c>
      <c r="AH52" s="86"/>
      <c r="AI52" s="86"/>
      <c r="AJ52" s="86">
        <v>52</v>
      </c>
    </row>
    <row r="53" spans="1:36" s="139" customFormat="1" ht="30" customHeight="1">
      <c r="A53" s="98" t="s">
        <v>1</v>
      </c>
      <c r="B53" s="98" t="s">
        <v>119</v>
      </c>
      <c r="C53" s="98" t="s">
        <v>298</v>
      </c>
      <c r="D53" s="145">
        <v>30000000</v>
      </c>
      <c r="E53" s="98" t="s">
        <v>299</v>
      </c>
      <c r="F53" s="98"/>
      <c r="G53" s="98"/>
      <c r="H53" s="102" t="s">
        <v>161</v>
      </c>
      <c r="I53" s="99">
        <v>100</v>
      </c>
      <c r="J53" s="102" t="s">
        <v>225</v>
      </c>
      <c r="K53" s="99">
        <v>100</v>
      </c>
      <c r="L53" s="102" t="s">
        <v>226</v>
      </c>
      <c r="M53" s="99">
        <v>100</v>
      </c>
      <c r="N53" s="98"/>
      <c r="O53" s="98" t="s">
        <v>118</v>
      </c>
      <c r="P53" s="98" t="str">
        <f t="shared" si="2"/>
        <v>N2|Por cerrar</v>
      </c>
      <c r="Q53" s="98" t="s">
        <v>164</v>
      </c>
      <c r="R53" s="98" t="str">
        <f>TRIM(tbl_BasePowerBI[[#This Row],[NOMBRE EJECUTIVO]])</f>
        <v>Lina Lemus</v>
      </c>
      <c r="S53" s="98" t="s">
        <v>165</v>
      </c>
      <c r="T53" s="100">
        <v>46177</v>
      </c>
      <c r="U53" s="100">
        <v>46181</v>
      </c>
      <c r="V53" s="146" t="s">
        <v>300</v>
      </c>
      <c r="W53" s="101">
        <v>30000000</v>
      </c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>
        <v>53</v>
      </c>
    </row>
    <row r="54" spans="1:36" s="139" customFormat="1" ht="30" customHeight="1">
      <c r="A54" s="103" t="s">
        <v>1</v>
      </c>
      <c r="B54" s="104" t="s">
        <v>117</v>
      </c>
      <c r="C54" s="105" t="s">
        <v>301</v>
      </c>
      <c r="D54" s="148">
        <v>0</v>
      </c>
      <c r="E54" s="103"/>
      <c r="F54" s="103"/>
      <c r="G54" s="103"/>
      <c r="H54" s="168" t="s">
        <v>161</v>
      </c>
      <c r="I54" s="106"/>
      <c r="J54" s="103"/>
      <c r="K54" s="106"/>
      <c r="L54" s="103"/>
      <c r="M54" s="106"/>
      <c r="N54" s="103"/>
      <c r="O54" s="103" t="s">
        <v>203</v>
      </c>
      <c r="P54" s="103" t="str">
        <f t="shared" si="2"/>
        <v>N2|Por Mejorar</v>
      </c>
      <c r="Q54" s="103" t="s">
        <v>194</v>
      </c>
      <c r="R54" s="103" t="str">
        <f>TRIM(tbl_BasePowerBI[[#This Row],[NOMBRE EJECUTIVO]])</f>
        <v>Luisa Escobar</v>
      </c>
      <c r="S54" s="103"/>
      <c r="T54" s="107"/>
      <c r="U54" s="107"/>
      <c r="V54" s="103"/>
      <c r="W54" s="108">
        <v>0</v>
      </c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>
        <v>54</v>
      </c>
    </row>
    <row r="55" spans="1:36" s="139" customFormat="1" ht="30" customHeight="1">
      <c r="A55" s="98" t="s">
        <v>1</v>
      </c>
      <c r="B55" s="102" t="s">
        <v>117</v>
      </c>
      <c r="C55" s="109" t="s">
        <v>302</v>
      </c>
      <c r="D55" s="145">
        <v>50000000</v>
      </c>
      <c r="E55" s="98" t="s">
        <v>303</v>
      </c>
      <c r="F55" s="98"/>
      <c r="G55" s="98"/>
      <c r="H55" s="102" t="s">
        <v>161</v>
      </c>
      <c r="I55" s="99">
        <v>100</v>
      </c>
      <c r="J55" s="98" t="s">
        <v>225</v>
      </c>
      <c r="K55" s="99">
        <v>50</v>
      </c>
      <c r="L55" s="98" t="s">
        <v>226</v>
      </c>
      <c r="M55" s="99">
        <v>50</v>
      </c>
      <c r="N55" s="103"/>
      <c r="O55" s="98" t="s">
        <v>109</v>
      </c>
      <c r="P55" s="98" t="str">
        <f t="shared" si="2"/>
        <v>N2|En seguimiento</v>
      </c>
      <c r="Q55" s="98" t="s">
        <v>194</v>
      </c>
      <c r="R55" s="98" t="str">
        <f>TRIM(tbl_BasePowerBI[[#This Row],[NOMBRE EJECUTIVO]])</f>
        <v>Luisa Escobar</v>
      </c>
      <c r="S55" s="98" t="s">
        <v>195</v>
      </c>
      <c r="T55" s="100">
        <v>46226</v>
      </c>
      <c r="U55" s="100">
        <v>46227</v>
      </c>
      <c r="V55" s="169" t="s">
        <v>304</v>
      </c>
      <c r="W55" s="110">
        <v>50000000</v>
      </c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>
        <v>55</v>
      </c>
    </row>
    <row r="56" spans="1:36" s="139" customFormat="1" ht="30" customHeight="1">
      <c r="A56" s="98" t="s">
        <v>1</v>
      </c>
      <c r="B56" s="102" t="s">
        <v>119</v>
      </c>
      <c r="C56" s="109" t="s">
        <v>305</v>
      </c>
      <c r="D56" s="148">
        <v>75000000</v>
      </c>
      <c r="E56" s="98" t="s">
        <v>306</v>
      </c>
      <c r="F56" s="98"/>
      <c r="G56" s="98"/>
      <c r="H56" s="102" t="s">
        <v>161</v>
      </c>
      <c r="I56" s="99">
        <v>100</v>
      </c>
      <c r="J56" s="170" t="s">
        <v>225</v>
      </c>
      <c r="K56" s="99">
        <v>50</v>
      </c>
      <c r="L56" s="98" t="s">
        <v>226</v>
      </c>
      <c r="M56" s="99">
        <v>50</v>
      </c>
      <c r="N56" s="98"/>
      <c r="O56" s="98" t="s">
        <v>109</v>
      </c>
      <c r="P56" s="98" t="str">
        <f t="shared" si="2"/>
        <v>N2|En seguimiento</v>
      </c>
      <c r="Q56" s="98" t="s">
        <v>194</v>
      </c>
      <c r="R56" s="98" t="str">
        <f>TRIM(tbl_BasePowerBI[[#This Row],[NOMBRE EJECUTIVO]])</f>
        <v>Lina Lemus</v>
      </c>
      <c r="S56" s="98" t="s">
        <v>195</v>
      </c>
      <c r="T56" s="107">
        <v>46225</v>
      </c>
      <c r="U56" s="107">
        <v>46230</v>
      </c>
      <c r="V56" s="169" t="s">
        <v>307</v>
      </c>
      <c r="W56" s="108">
        <v>75000000</v>
      </c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>
        <v>56</v>
      </c>
    </row>
    <row r="57" spans="1:36" s="139" customFormat="1" ht="30" customHeight="1">
      <c r="A57" s="103" t="s">
        <v>1</v>
      </c>
      <c r="B57" s="104" t="s">
        <v>117</v>
      </c>
      <c r="C57" s="105" t="s">
        <v>308</v>
      </c>
      <c r="D57" s="148">
        <v>0</v>
      </c>
      <c r="E57" s="103"/>
      <c r="F57" s="103"/>
      <c r="G57" s="103"/>
      <c r="H57" s="168" t="s">
        <v>161</v>
      </c>
      <c r="I57" s="106"/>
      <c r="J57" s="103"/>
      <c r="K57" s="106"/>
      <c r="L57" s="103"/>
      <c r="M57" s="106"/>
      <c r="N57" s="103"/>
      <c r="O57" s="103" t="s">
        <v>203</v>
      </c>
      <c r="P57" s="103" t="str">
        <f t="shared" si="2"/>
        <v>N2|Por Mejorar</v>
      </c>
      <c r="Q57" s="103" t="s">
        <v>194</v>
      </c>
      <c r="R57" s="103" t="str">
        <f>TRIM(tbl_BasePowerBI[[#This Row],[NOMBRE EJECUTIVO]])</f>
        <v>Luisa Escobar</v>
      </c>
      <c r="S57" s="103"/>
      <c r="T57" s="107"/>
      <c r="U57" s="107"/>
      <c r="V57" s="103"/>
      <c r="W57" s="108">
        <v>0</v>
      </c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>
        <v>58</v>
      </c>
    </row>
    <row r="58" spans="1:36" s="139" customFormat="1" ht="30" customHeight="1">
      <c r="A58" s="103" t="s">
        <v>1</v>
      </c>
      <c r="B58" s="104" t="s">
        <v>119</v>
      </c>
      <c r="C58" s="105" t="s">
        <v>309</v>
      </c>
      <c r="D58" s="148">
        <v>0</v>
      </c>
      <c r="E58" s="103"/>
      <c r="F58" s="103"/>
      <c r="G58" s="103"/>
      <c r="H58" s="168" t="s">
        <v>161</v>
      </c>
      <c r="I58" s="106"/>
      <c r="J58" s="103"/>
      <c r="K58" s="106"/>
      <c r="L58" s="103"/>
      <c r="M58" s="106"/>
      <c r="N58" s="103"/>
      <c r="O58" s="103" t="s">
        <v>203</v>
      </c>
      <c r="P58" s="103" t="str">
        <f t="shared" si="2"/>
        <v>N2|Por Mejorar</v>
      </c>
      <c r="Q58" s="103" t="s">
        <v>194</v>
      </c>
      <c r="R58" s="103" t="str">
        <f>TRIM(tbl_BasePowerBI[[#This Row],[NOMBRE EJECUTIVO]])</f>
        <v>Lina Lemus</v>
      </c>
      <c r="S58" s="103"/>
      <c r="T58" s="107"/>
      <c r="U58" s="107"/>
      <c r="V58" s="103"/>
      <c r="W58" s="108">
        <v>0</v>
      </c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>
        <v>59</v>
      </c>
    </row>
    <row r="59" spans="1:36" s="139" customFormat="1" ht="30" customHeight="1">
      <c r="A59" s="98" t="s">
        <v>1</v>
      </c>
      <c r="B59" s="98" t="s">
        <v>119</v>
      </c>
      <c r="C59" s="98" t="s">
        <v>310</v>
      </c>
      <c r="D59" s="145">
        <v>40000000</v>
      </c>
      <c r="E59" s="102" t="s">
        <v>311</v>
      </c>
      <c r="F59" s="98"/>
      <c r="G59" s="98"/>
      <c r="H59" s="102" t="s">
        <v>225</v>
      </c>
      <c r="I59" s="99">
        <v>100</v>
      </c>
      <c r="J59" s="98" t="s">
        <v>312</v>
      </c>
      <c r="K59" s="99">
        <v>100</v>
      </c>
      <c r="L59" s="98" t="s">
        <v>313</v>
      </c>
      <c r="M59" s="99">
        <v>50</v>
      </c>
      <c r="N59" s="98"/>
      <c r="O59" s="98" t="s">
        <v>118</v>
      </c>
      <c r="P59" s="98" t="str">
        <f t="shared" si="2"/>
        <v>N2|Por cerrar</v>
      </c>
      <c r="Q59" s="98" t="s">
        <v>164</v>
      </c>
      <c r="R59" s="98" t="str">
        <f>TRIM(tbl_BasePowerBI[[#This Row],[NOMBRE EJECUTIVO]])</f>
        <v>Lina Lemus</v>
      </c>
      <c r="S59" s="98" t="s">
        <v>195</v>
      </c>
      <c r="T59" s="100">
        <v>46204</v>
      </c>
      <c r="U59" s="107">
        <v>46204</v>
      </c>
      <c r="V59" s="121" t="s">
        <v>314</v>
      </c>
      <c r="W59" s="147">
        <v>40000000</v>
      </c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>
        <v>60</v>
      </c>
    </row>
    <row r="60" spans="1:36" s="139" customFormat="1" ht="30" customHeight="1">
      <c r="A60" s="103" t="s">
        <v>2</v>
      </c>
      <c r="B60" s="104" t="s">
        <v>122</v>
      </c>
      <c r="C60" s="103" t="s">
        <v>315</v>
      </c>
      <c r="D60" s="148">
        <v>38566800</v>
      </c>
      <c r="E60" s="103" t="s">
        <v>316</v>
      </c>
      <c r="F60" s="103"/>
      <c r="G60" s="103"/>
      <c r="H60" s="104" t="s">
        <v>161</v>
      </c>
      <c r="I60" s="106">
        <v>0</v>
      </c>
      <c r="J60" s="103"/>
      <c r="K60" s="106">
        <v>0</v>
      </c>
      <c r="L60" s="103"/>
      <c r="M60" s="106">
        <v>0</v>
      </c>
      <c r="N60" s="103"/>
      <c r="O60" s="103" t="s">
        <v>203</v>
      </c>
      <c r="P60" s="103" t="str">
        <f t="shared" si="2"/>
        <v>N3|Por Mejorar</v>
      </c>
      <c r="Q60" s="103" t="s">
        <v>194</v>
      </c>
      <c r="R60" s="103" t="str">
        <f>TRIM(tbl_BasePowerBI[[#This Row],[NOMBRE EJECUTIVO]])</f>
        <v>Helen Fajardo</v>
      </c>
      <c r="S60" s="103"/>
      <c r="T60" s="107"/>
      <c r="U60" s="107"/>
      <c r="V60" s="103"/>
      <c r="W60" s="108">
        <v>0</v>
      </c>
      <c r="X60" s="86"/>
      <c r="Y60" s="86"/>
      <c r="Z60" s="86" t="s">
        <v>317</v>
      </c>
      <c r="AA60" s="88" t="s">
        <v>318</v>
      </c>
      <c r="AB60" s="89" t="s">
        <v>3</v>
      </c>
      <c r="AC60" s="89" t="s">
        <v>1</v>
      </c>
      <c r="AD60" s="89" t="s">
        <v>203</v>
      </c>
      <c r="AE60" s="90" t="e" vm="11">
        <v>#VALUE!</v>
      </c>
      <c r="AF60" s="89"/>
      <c r="AG60" s="89" t="str">
        <f>AC60&amp;"|"&amp;AD60</f>
        <v>N2|Por Mejorar</v>
      </c>
      <c r="AH60" s="86"/>
      <c r="AI60" s="86"/>
      <c r="AJ60" s="86">
        <v>61</v>
      </c>
    </row>
    <row r="61" spans="1:36" s="139" customFormat="1" ht="30" customHeight="1">
      <c r="A61" s="98" t="s">
        <v>2</v>
      </c>
      <c r="B61" s="98" t="s">
        <v>122</v>
      </c>
      <c r="C61" s="98" t="s">
        <v>319</v>
      </c>
      <c r="D61" s="145">
        <v>40000000</v>
      </c>
      <c r="E61" s="98" t="s">
        <v>320</v>
      </c>
      <c r="F61" s="98"/>
      <c r="G61" s="98"/>
      <c r="H61" s="102" t="s">
        <v>161</v>
      </c>
      <c r="I61" s="99">
        <v>100</v>
      </c>
      <c r="J61" s="98" t="s">
        <v>162</v>
      </c>
      <c r="K61" s="99">
        <v>100</v>
      </c>
      <c r="L61" s="98" t="s">
        <v>163</v>
      </c>
      <c r="M61" s="99">
        <v>50</v>
      </c>
      <c r="N61" s="98"/>
      <c r="O61" s="98" t="s">
        <v>109</v>
      </c>
      <c r="P61" s="98" t="str">
        <f t="shared" si="2"/>
        <v>N3|En seguimiento</v>
      </c>
      <c r="Q61" s="98" t="s">
        <v>164</v>
      </c>
      <c r="R61" s="98" t="str">
        <f>TRIM(tbl_BasePowerBI[[#This Row],[NOMBRE EJECUTIVO]])</f>
        <v>Helen Fajardo</v>
      </c>
      <c r="S61" s="98" t="s">
        <v>165</v>
      </c>
      <c r="T61" s="100">
        <v>46185</v>
      </c>
      <c r="U61" s="107">
        <v>46185</v>
      </c>
      <c r="V61" s="121" t="s">
        <v>321</v>
      </c>
      <c r="W61" s="147">
        <v>46437280</v>
      </c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>
        <v>62</v>
      </c>
    </row>
    <row r="62" spans="1:36" s="139" customFormat="1" ht="30" customHeight="1">
      <c r="A62" s="103" t="s">
        <v>2</v>
      </c>
      <c r="B62" s="104" t="s">
        <v>322</v>
      </c>
      <c r="C62" s="105" t="s">
        <v>323</v>
      </c>
      <c r="D62" s="148">
        <v>0</v>
      </c>
      <c r="E62" s="105" t="s">
        <v>19</v>
      </c>
      <c r="F62" s="103"/>
      <c r="G62" s="103"/>
      <c r="H62" s="168" t="s">
        <v>161</v>
      </c>
      <c r="I62" s="106"/>
      <c r="J62" s="103"/>
      <c r="K62" s="106"/>
      <c r="L62" s="103"/>
      <c r="M62" s="106"/>
      <c r="N62" s="103"/>
      <c r="O62" s="103" t="s">
        <v>203</v>
      </c>
      <c r="P62" s="103" t="str">
        <f t="shared" si="2"/>
        <v>N3|Por Mejorar</v>
      </c>
      <c r="Q62" s="103" t="s">
        <v>194</v>
      </c>
      <c r="R62" s="103" t="str">
        <f>TRIM(tbl_BasePowerBI[[#This Row],[NOMBRE EJECUTIVO]])</f>
        <v>Hugo Urrea</v>
      </c>
      <c r="S62" s="103"/>
      <c r="T62" s="107"/>
      <c r="U62" s="107"/>
      <c r="V62" s="103"/>
      <c r="W62" s="108">
        <v>0</v>
      </c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>
        <v>63</v>
      </c>
    </row>
    <row r="63" spans="1:36" s="139" customFormat="1" ht="30" customHeight="1">
      <c r="A63" s="103" t="s">
        <v>2</v>
      </c>
      <c r="B63" s="104" t="s">
        <v>322</v>
      </c>
      <c r="C63" s="105" t="s">
        <v>324</v>
      </c>
      <c r="D63" s="148">
        <v>0</v>
      </c>
      <c r="E63" s="105" t="s">
        <v>25</v>
      </c>
      <c r="F63" s="103"/>
      <c r="G63" s="103"/>
      <c r="H63" s="168" t="s">
        <v>161</v>
      </c>
      <c r="I63" s="106"/>
      <c r="J63" s="103"/>
      <c r="K63" s="106"/>
      <c r="L63" s="103"/>
      <c r="M63" s="106"/>
      <c r="N63" s="103"/>
      <c r="O63" s="103" t="s">
        <v>203</v>
      </c>
      <c r="P63" s="103" t="str">
        <f t="shared" si="2"/>
        <v>N3|Por Mejorar</v>
      </c>
      <c r="Q63" s="103" t="s">
        <v>194</v>
      </c>
      <c r="R63" s="103" t="str">
        <f>TRIM(tbl_BasePowerBI[[#This Row],[NOMBRE EJECUTIVO]])</f>
        <v>Hugo Urrea</v>
      </c>
      <c r="S63" s="103"/>
      <c r="T63" s="107"/>
      <c r="U63" s="107"/>
      <c r="V63" s="103"/>
      <c r="W63" s="108">
        <v>0</v>
      </c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>
        <v>64</v>
      </c>
    </row>
    <row r="64" spans="1:36" s="139" customFormat="1" ht="30" customHeight="1">
      <c r="A64" s="103" t="s">
        <v>2</v>
      </c>
      <c r="B64" s="104" t="s">
        <v>325</v>
      </c>
      <c r="C64" s="105" t="s">
        <v>326</v>
      </c>
      <c r="D64" s="148">
        <v>0</v>
      </c>
      <c r="E64" s="105" t="s">
        <v>31</v>
      </c>
      <c r="F64" s="103"/>
      <c r="G64" s="103"/>
      <c r="H64" s="168" t="s">
        <v>161</v>
      </c>
      <c r="I64" s="106"/>
      <c r="J64" s="103"/>
      <c r="K64" s="106"/>
      <c r="L64" s="103"/>
      <c r="M64" s="106"/>
      <c r="N64" s="103"/>
      <c r="O64" s="103" t="s">
        <v>203</v>
      </c>
      <c r="P64" s="103" t="str">
        <f t="shared" si="2"/>
        <v>N3|Por Mejorar</v>
      </c>
      <c r="Q64" s="103" t="s">
        <v>194</v>
      </c>
      <c r="R64" s="103" t="str">
        <f>TRIM(tbl_BasePowerBI[[#This Row],[NOMBRE EJECUTIVO]])</f>
        <v>Sofia Calvera</v>
      </c>
      <c r="S64" s="103"/>
      <c r="T64" s="107"/>
      <c r="U64" s="107"/>
      <c r="V64" s="103"/>
      <c r="W64" s="108">
        <v>0</v>
      </c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>
        <v>65</v>
      </c>
    </row>
    <row r="65" spans="1:38" s="139" customFormat="1" ht="30" customHeight="1">
      <c r="A65" s="103" t="s">
        <v>2</v>
      </c>
      <c r="B65" s="104" t="s">
        <v>327</v>
      </c>
      <c r="C65" s="105" t="s">
        <v>328</v>
      </c>
      <c r="D65" s="148">
        <v>0</v>
      </c>
      <c r="E65" s="105" t="s">
        <v>38</v>
      </c>
      <c r="F65" s="103"/>
      <c r="G65" s="103"/>
      <c r="H65" s="168" t="s">
        <v>161</v>
      </c>
      <c r="I65" s="106"/>
      <c r="J65" s="103"/>
      <c r="K65" s="106"/>
      <c r="L65" s="103"/>
      <c r="M65" s="106"/>
      <c r="N65" s="103"/>
      <c r="O65" s="103" t="s">
        <v>203</v>
      </c>
      <c r="P65" s="103" t="str">
        <f t="shared" si="2"/>
        <v>N3|Por Mejorar</v>
      </c>
      <c r="Q65" s="103" t="s">
        <v>194</v>
      </c>
      <c r="R65" s="103" t="str">
        <f>TRIM(tbl_BasePowerBI[[#This Row],[NOMBRE EJECUTIVO]])</f>
        <v>Elsa Cortez</v>
      </c>
      <c r="S65" s="103"/>
      <c r="T65" s="107"/>
      <c r="U65" s="107"/>
      <c r="V65" s="103"/>
      <c r="W65" s="108">
        <v>0</v>
      </c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>
        <v>67</v>
      </c>
    </row>
    <row r="66" spans="1:38" s="139" customFormat="1" ht="30" customHeight="1">
      <c r="A66" s="103" t="s">
        <v>2</v>
      </c>
      <c r="B66" s="104" t="s">
        <v>122</v>
      </c>
      <c r="C66" s="105" t="s">
        <v>329</v>
      </c>
      <c r="D66" s="148">
        <v>0</v>
      </c>
      <c r="E66" s="105" t="s">
        <v>44</v>
      </c>
      <c r="F66" s="103"/>
      <c r="G66" s="103"/>
      <c r="H66" s="168" t="s">
        <v>161</v>
      </c>
      <c r="I66" s="106"/>
      <c r="J66" s="103"/>
      <c r="K66" s="106"/>
      <c r="L66" s="103"/>
      <c r="M66" s="106"/>
      <c r="N66" s="103"/>
      <c r="O66" s="103" t="s">
        <v>203</v>
      </c>
      <c r="P66" s="103" t="str">
        <f t="shared" si="2"/>
        <v>N3|Por Mejorar</v>
      </c>
      <c r="Q66" s="103" t="s">
        <v>194</v>
      </c>
      <c r="R66" s="103" t="str">
        <f>TRIM(tbl_BasePowerBI[[#This Row],[NOMBRE EJECUTIVO]])</f>
        <v>Helen Fajardo</v>
      </c>
      <c r="S66" s="103"/>
      <c r="T66" s="107"/>
      <c r="U66" s="107"/>
      <c r="V66" s="103"/>
      <c r="W66" s="108">
        <v>0</v>
      </c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>
        <v>68</v>
      </c>
    </row>
    <row r="67" spans="1:38" s="139" customFormat="1" ht="30" customHeight="1">
      <c r="A67" s="98" t="s">
        <v>2</v>
      </c>
      <c r="B67" s="102" t="s">
        <v>123</v>
      </c>
      <c r="C67" s="109" t="s">
        <v>330</v>
      </c>
      <c r="D67" s="145">
        <v>15000000</v>
      </c>
      <c r="E67" s="109" t="s">
        <v>51</v>
      </c>
      <c r="F67" s="98"/>
      <c r="G67" s="98"/>
      <c r="H67" s="102" t="s">
        <v>161</v>
      </c>
      <c r="I67" s="99">
        <v>100</v>
      </c>
      <c r="J67" s="98" t="s">
        <v>331</v>
      </c>
      <c r="K67" s="99">
        <v>100</v>
      </c>
      <c r="L67" s="102" t="s">
        <v>226</v>
      </c>
      <c r="M67" s="99">
        <v>50</v>
      </c>
      <c r="N67" s="98"/>
      <c r="O67" s="98" t="s">
        <v>109</v>
      </c>
      <c r="P67" s="98" t="str">
        <f t="shared" ref="P67:P97" si="4">A67&amp;"|"&amp;O67</f>
        <v>N3|En seguimiento</v>
      </c>
      <c r="Q67" s="98" t="s">
        <v>164</v>
      </c>
      <c r="R67" s="98" t="str">
        <f>TRIM(tbl_BasePowerBI[[#This Row],[NOMBRE EJECUTIVO]])</f>
        <v>Laura Melo</v>
      </c>
      <c r="S67" s="98" t="s">
        <v>195</v>
      </c>
      <c r="T67" s="100">
        <v>46168</v>
      </c>
      <c r="U67" s="100">
        <v>46224</v>
      </c>
      <c r="V67" s="146" t="s">
        <v>332</v>
      </c>
      <c r="W67" s="110">
        <v>16880000</v>
      </c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>
        <v>69</v>
      </c>
    </row>
    <row r="68" spans="1:38" s="139" customFormat="1" ht="30" customHeight="1">
      <c r="A68" s="98" t="s">
        <v>2</v>
      </c>
      <c r="B68" s="98" t="s">
        <v>125</v>
      </c>
      <c r="C68" s="98" t="s">
        <v>333</v>
      </c>
      <c r="D68" s="145">
        <v>50000000</v>
      </c>
      <c r="E68" s="98" t="s">
        <v>334</v>
      </c>
      <c r="F68" s="98"/>
      <c r="G68" s="98"/>
      <c r="H68" s="98" t="s">
        <v>335</v>
      </c>
      <c r="I68" s="99">
        <v>100</v>
      </c>
      <c r="J68" s="98" t="s">
        <v>336</v>
      </c>
      <c r="K68" s="99">
        <v>100</v>
      </c>
      <c r="L68" s="98" t="s">
        <v>337</v>
      </c>
      <c r="M68" s="99">
        <v>50</v>
      </c>
      <c r="N68" s="98"/>
      <c r="O68" s="98" t="s">
        <v>118</v>
      </c>
      <c r="P68" s="98" t="str">
        <f t="shared" si="4"/>
        <v>N3|Por cerrar</v>
      </c>
      <c r="Q68" s="98" t="s">
        <v>164</v>
      </c>
      <c r="R68" s="98" t="str">
        <f>TRIM(tbl_BasePowerBI[[#This Row],[NOMBRE EJECUTIVO]])</f>
        <v>Diana Andrea Rodiguez</v>
      </c>
      <c r="S68" s="98" t="s">
        <v>165</v>
      </c>
      <c r="T68" s="100">
        <v>46197</v>
      </c>
      <c r="U68" s="107">
        <v>46197</v>
      </c>
      <c r="V68" s="121" t="s">
        <v>338</v>
      </c>
      <c r="W68" s="147">
        <v>50686060</v>
      </c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>
        <v>70</v>
      </c>
    </row>
    <row r="69" spans="1:38" s="139" customFormat="1" ht="30" customHeight="1">
      <c r="A69" s="98" t="s">
        <v>2</v>
      </c>
      <c r="B69" s="98" t="s">
        <v>121</v>
      </c>
      <c r="C69" s="98" t="s">
        <v>339</v>
      </c>
      <c r="D69" s="145">
        <v>30000000</v>
      </c>
      <c r="E69" s="102" t="s">
        <v>202</v>
      </c>
      <c r="F69" s="98"/>
      <c r="G69" s="98"/>
      <c r="H69" s="102" t="s">
        <v>225</v>
      </c>
      <c r="I69" s="99">
        <v>100</v>
      </c>
      <c r="J69" s="102" t="s">
        <v>226</v>
      </c>
      <c r="K69" s="99">
        <v>100</v>
      </c>
      <c r="L69" s="98"/>
      <c r="M69" s="99"/>
      <c r="N69" s="98"/>
      <c r="O69" s="98" t="s">
        <v>109</v>
      </c>
      <c r="P69" s="98" t="str">
        <f t="shared" si="4"/>
        <v>N3|En seguimiento</v>
      </c>
      <c r="Q69" s="98" t="s">
        <v>164</v>
      </c>
      <c r="R69" s="98" t="str">
        <f>TRIM(tbl_BasePowerBI[[#This Row],[NOMBRE EJECUTIVO]])</f>
        <v>Diana Andrea Rodriguez</v>
      </c>
      <c r="S69" s="98" t="s">
        <v>195</v>
      </c>
      <c r="T69" s="100">
        <v>46211</v>
      </c>
      <c r="U69" s="100">
        <v>46213</v>
      </c>
      <c r="V69" s="146" t="s">
        <v>340</v>
      </c>
      <c r="W69" s="101">
        <v>30000000</v>
      </c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>
        <v>71</v>
      </c>
    </row>
    <row r="70" spans="1:38" s="139" customFormat="1" ht="30" customHeight="1">
      <c r="A70" s="116" t="s">
        <v>2</v>
      </c>
      <c r="B70" s="116" t="s">
        <v>120</v>
      </c>
      <c r="C70" s="116" t="s">
        <v>341</v>
      </c>
      <c r="D70" s="151">
        <v>5000000</v>
      </c>
      <c r="E70" s="116" t="s">
        <v>342</v>
      </c>
      <c r="F70" s="116"/>
      <c r="G70" s="116"/>
      <c r="H70" s="116" t="s">
        <v>343</v>
      </c>
      <c r="I70" s="117">
        <v>100</v>
      </c>
      <c r="J70" s="116" t="s">
        <v>344</v>
      </c>
      <c r="K70" s="117">
        <v>100</v>
      </c>
      <c r="L70" s="116"/>
      <c r="M70" s="117"/>
      <c r="N70" s="116"/>
      <c r="O70" s="116" t="s">
        <v>110</v>
      </c>
      <c r="P70" s="116" t="str">
        <f t="shared" si="4"/>
        <v>N3|Cerrada</v>
      </c>
      <c r="Q70" s="116" t="s">
        <v>262</v>
      </c>
      <c r="R70" s="116" t="str">
        <f>TRIM(tbl_BasePowerBI[[#This Row],[NOMBRE EJECUTIVO]])</f>
        <v>Laura Calvera</v>
      </c>
      <c r="S70" s="116" t="s">
        <v>165</v>
      </c>
      <c r="T70" s="118">
        <v>46175</v>
      </c>
      <c r="U70" s="118">
        <v>46175</v>
      </c>
      <c r="V70" s="154" t="s">
        <v>345</v>
      </c>
      <c r="W70" s="119">
        <v>5500000</v>
      </c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>
        <v>72</v>
      </c>
    </row>
    <row r="71" spans="1:38" s="139" customFormat="1" ht="30" customHeight="1">
      <c r="A71" s="98" t="s">
        <v>2</v>
      </c>
      <c r="B71" s="98" t="s">
        <v>124</v>
      </c>
      <c r="C71" s="98" t="s">
        <v>326</v>
      </c>
      <c r="D71" s="145">
        <v>40000000</v>
      </c>
      <c r="E71" s="98" t="s">
        <v>346</v>
      </c>
      <c r="F71" s="98"/>
      <c r="G71" s="98"/>
      <c r="H71" s="102" t="s">
        <v>161</v>
      </c>
      <c r="I71" s="99">
        <v>100</v>
      </c>
      <c r="J71" s="102" t="s">
        <v>226</v>
      </c>
      <c r="K71" s="99">
        <v>100</v>
      </c>
      <c r="L71" s="98" t="s">
        <v>163</v>
      </c>
      <c r="M71" s="99">
        <v>50</v>
      </c>
      <c r="N71" s="98"/>
      <c r="O71" s="98" t="s">
        <v>109</v>
      </c>
      <c r="P71" s="98" t="str">
        <f t="shared" si="4"/>
        <v>N3|En seguimiento</v>
      </c>
      <c r="Q71" s="98" t="s">
        <v>262</v>
      </c>
      <c r="R71" s="98" t="str">
        <f>TRIM(tbl_BasePowerBI[[#This Row],[NOMBRE EJECUTIVO]])</f>
        <v>Diana Rodriguez</v>
      </c>
      <c r="S71" s="98" t="s">
        <v>165</v>
      </c>
      <c r="T71" s="100"/>
      <c r="U71" s="107">
        <v>46197</v>
      </c>
      <c r="V71" s="121" t="s">
        <v>347</v>
      </c>
      <c r="W71" s="147">
        <v>40000000</v>
      </c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>
        <v>73</v>
      </c>
    </row>
    <row r="72" spans="1:38" s="139" customFormat="1" ht="30" customHeight="1">
      <c r="A72" s="103" t="s">
        <v>2</v>
      </c>
      <c r="B72" s="104" t="s">
        <v>348</v>
      </c>
      <c r="C72" s="105" t="s">
        <v>349</v>
      </c>
      <c r="D72" s="148">
        <v>0</v>
      </c>
      <c r="E72" s="105" t="s">
        <v>47</v>
      </c>
      <c r="F72" s="103"/>
      <c r="G72" s="103"/>
      <c r="H72" s="168" t="s">
        <v>161</v>
      </c>
      <c r="I72" s="106">
        <v>0</v>
      </c>
      <c r="J72" s="103"/>
      <c r="K72" s="106"/>
      <c r="L72" s="103"/>
      <c r="M72" s="106"/>
      <c r="N72" s="103"/>
      <c r="O72" s="103" t="s">
        <v>203</v>
      </c>
      <c r="P72" s="103" t="str">
        <f t="shared" si="4"/>
        <v>N3|Por Mejorar</v>
      </c>
      <c r="Q72" s="103" t="s">
        <v>194</v>
      </c>
      <c r="R72" s="103" t="str">
        <f>TRIM(tbl_BasePowerBI[[#This Row],[NOMBRE EJECUTIVO]])</f>
        <v>Nicole Hincapie</v>
      </c>
      <c r="S72" s="103"/>
      <c r="T72" s="107"/>
      <c r="U72" s="107"/>
      <c r="V72" s="103"/>
      <c r="W72" s="108">
        <v>0</v>
      </c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>
        <v>74</v>
      </c>
    </row>
    <row r="73" spans="1:38" s="139" customFormat="1" ht="30" customHeight="1">
      <c r="A73" s="103" t="s">
        <v>2</v>
      </c>
      <c r="B73" s="104" t="s">
        <v>348</v>
      </c>
      <c r="C73" s="105" t="s">
        <v>350</v>
      </c>
      <c r="D73" s="148">
        <v>0</v>
      </c>
      <c r="E73" s="105" t="s">
        <v>54</v>
      </c>
      <c r="F73" s="103"/>
      <c r="G73" s="103"/>
      <c r="H73" s="168" t="s">
        <v>161</v>
      </c>
      <c r="I73" s="106">
        <v>0</v>
      </c>
      <c r="J73" s="103"/>
      <c r="K73" s="106"/>
      <c r="L73" s="103"/>
      <c r="M73" s="106"/>
      <c r="N73" s="103"/>
      <c r="O73" s="103" t="s">
        <v>203</v>
      </c>
      <c r="P73" s="103" t="str">
        <f t="shared" si="4"/>
        <v>N3|Por Mejorar</v>
      </c>
      <c r="Q73" s="103" t="s">
        <v>194</v>
      </c>
      <c r="R73" s="103" t="str">
        <f>TRIM(tbl_BasePowerBI[[#This Row],[NOMBRE EJECUTIVO]])</f>
        <v>Nicole Hincapie</v>
      </c>
      <c r="S73" s="103"/>
      <c r="T73" s="107"/>
      <c r="U73" s="107"/>
      <c r="V73" s="103"/>
      <c r="W73" s="108">
        <v>0</v>
      </c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>
        <v>76</v>
      </c>
    </row>
    <row r="74" spans="1:38" s="139" customFormat="1" ht="30" customHeight="1">
      <c r="A74" s="103" t="s">
        <v>2</v>
      </c>
      <c r="B74" s="104" t="s">
        <v>348</v>
      </c>
      <c r="C74" s="105" t="s">
        <v>351</v>
      </c>
      <c r="D74" s="148">
        <v>0</v>
      </c>
      <c r="E74" s="105" t="s">
        <v>60</v>
      </c>
      <c r="F74" s="103"/>
      <c r="G74" s="103"/>
      <c r="H74" s="168" t="s">
        <v>161</v>
      </c>
      <c r="I74" s="106">
        <v>0</v>
      </c>
      <c r="J74" s="103"/>
      <c r="K74" s="106"/>
      <c r="L74" s="103"/>
      <c r="M74" s="106"/>
      <c r="N74" s="103"/>
      <c r="O74" s="103" t="s">
        <v>203</v>
      </c>
      <c r="P74" s="103" t="str">
        <f t="shared" si="4"/>
        <v>N3|Por Mejorar</v>
      </c>
      <c r="Q74" s="103" t="s">
        <v>194</v>
      </c>
      <c r="R74" s="103" t="str">
        <f>TRIM(tbl_BasePowerBI[[#This Row],[NOMBRE EJECUTIVO]])</f>
        <v>Nicole Hincapie</v>
      </c>
      <c r="S74" s="103"/>
      <c r="T74" s="107"/>
      <c r="U74" s="107"/>
      <c r="V74" s="103"/>
      <c r="W74" s="108">
        <v>0</v>
      </c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>
        <v>77</v>
      </c>
      <c r="AL74" s="136"/>
    </row>
    <row r="75" spans="1:38" s="139" customFormat="1" ht="30" customHeight="1">
      <c r="A75" s="103" t="s">
        <v>3</v>
      </c>
      <c r="B75" s="103" t="s">
        <v>352</v>
      </c>
      <c r="C75" s="105" t="s">
        <v>86</v>
      </c>
      <c r="D75" s="148">
        <v>0</v>
      </c>
      <c r="E75" s="105" t="s">
        <v>353</v>
      </c>
      <c r="F75" s="103"/>
      <c r="G75" s="103"/>
      <c r="H75" s="104" t="s">
        <v>161</v>
      </c>
      <c r="I75" s="106">
        <v>0</v>
      </c>
      <c r="J75" s="103"/>
      <c r="K75" s="106"/>
      <c r="L75" s="103"/>
      <c r="M75" s="106"/>
      <c r="N75" s="103"/>
      <c r="O75" s="103" t="s">
        <v>203</v>
      </c>
      <c r="P75" s="103" t="str">
        <f t="shared" si="4"/>
        <v>N4|Por Mejorar</v>
      </c>
      <c r="Q75" s="103" t="s">
        <v>194</v>
      </c>
      <c r="R75" s="103" t="str">
        <f>TRIM(tbl_BasePowerBI[[#This Row],[NOMBRE EJECUTIVO]])</f>
        <v>Gina Tinjacá</v>
      </c>
      <c r="S75" s="103"/>
      <c r="T75" s="107"/>
      <c r="U75" s="107"/>
      <c r="V75" s="103"/>
      <c r="W75" s="108">
        <v>0</v>
      </c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>
        <v>78</v>
      </c>
    </row>
    <row r="76" spans="1:38" s="139" customFormat="1" ht="30" customHeight="1">
      <c r="A76" s="103" t="s">
        <v>3</v>
      </c>
      <c r="B76" s="103" t="s">
        <v>352</v>
      </c>
      <c r="C76" s="105" t="s">
        <v>99</v>
      </c>
      <c r="D76" s="148">
        <v>0</v>
      </c>
      <c r="E76" s="105" t="s">
        <v>354</v>
      </c>
      <c r="F76" s="103"/>
      <c r="G76" s="103"/>
      <c r="H76" s="104" t="s">
        <v>161</v>
      </c>
      <c r="I76" s="106">
        <v>0</v>
      </c>
      <c r="J76" s="103"/>
      <c r="K76" s="106"/>
      <c r="L76" s="103"/>
      <c r="M76" s="106"/>
      <c r="N76" s="103"/>
      <c r="O76" s="103" t="s">
        <v>203</v>
      </c>
      <c r="P76" s="103" t="str">
        <f t="shared" si="4"/>
        <v>N4|Por Mejorar</v>
      </c>
      <c r="Q76" s="103" t="s">
        <v>194</v>
      </c>
      <c r="R76" s="103" t="str">
        <f>TRIM(tbl_BasePowerBI[[#This Row],[NOMBRE EJECUTIVO]])</f>
        <v>Gina Tinjacá</v>
      </c>
      <c r="S76" s="103"/>
      <c r="T76" s="107"/>
      <c r="U76" s="107"/>
      <c r="V76" s="103"/>
      <c r="W76" s="108">
        <v>0</v>
      </c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>
        <v>79</v>
      </c>
      <c r="AL76" s="136"/>
    </row>
    <row r="77" spans="1:38" s="139" customFormat="1" ht="30" customHeight="1">
      <c r="A77" s="103" t="s">
        <v>3</v>
      </c>
      <c r="B77" s="103" t="s">
        <v>126</v>
      </c>
      <c r="C77" s="105" t="s">
        <v>355</v>
      </c>
      <c r="D77" s="148">
        <v>0</v>
      </c>
      <c r="E77" s="105" t="s">
        <v>356</v>
      </c>
      <c r="F77" s="103"/>
      <c r="G77" s="103"/>
      <c r="H77" s="104" t="s">
        <v>161</v>
      </c>
      <c r="I77" s="106">
        <v>0</v>
      </c>
      <c r="J77" s="103"/>
      <c r="K77" s="106"/>
      <c r="L77" s="103"/>
      <c r="M77" s="106"/>
      <c r="N77" s="103"/>
      <c r="O77" s="103" t="s">
        <v>203</v>
      </c>
      <c r="P77" s="103" t="str">
        <f t="shared" si="4"/>
        <v>N4|Por Mejorar</v>
      </c>
      <c r="Q77" s="103" t="s">
        <v>194</v>
      </c>
      <c r="R77" s="103" t="str">
        <f>TRIM(tbl_BasePowerBI[[#This Row],[NOMBRE EJECUTIVO]])</f>
        <v>Karen Perez</v>
      </c>
      <c r="S77" s="103"/>
      <c r="T77" s="107"/>
      <c r="U77" s="107"/>
      <c r="V77" s="103"/>
      <c r="W77" s="108">
        <v>0</v>
      </c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>
        <v>80</v>
      </c>
      <c r="AL77" s="136"/>
    </row>
    <row r="78" spans="1:38" s="139" customFormat="1" ht="30" customHeight="1">
      <c r="A78" s="103" t="s">
        <v>3</v>
      </c>
      <c r="B78" s="103" t="s">
        <v>357</v>
      </c>
      <c r="C78" s="105" t="s">
        <v>358</v>
      </c>
      <c r="D78" s="148">
        <v>0</v>
      </c>
      <c r="E78" s="105" t="s">
        <v>359</v>
      </c>
      <c r="F78" s="103"/>
      <c r="G78" s="103"/>
      <c r="H78" s="104" t="s">
        <v>161</v>
      </c>
      <c r="I78" s="106">
        <v>0</v>
      </c>
      <c r="J78" s="103"/>
      <c r="K78" s="106"/>
      <c r="L78" s="103"/>
      <c r="M78" s="106"/>
      <c r="N78" s="103"/>
      <c r="O78" s="103" t="s">
        <v>203</v>
      </c>
      <c r="P78" s="103" t="str">
        <f t="shared" si="4"/>
        <v>N4|Por Mejorar</v>
      </c>
      <c r="Q78" s="103" t="s">
        <v>194</v>
      </c>
      <c r="R78" s="103" t="str">
        <f>TRIM(tbl_BasePowerBI[[#This Row],[NOMBRE EJECUTIVO]])</f>
        <v>Valentina Párraga</v>
      </c>
      <c r="S78" s="103"/>
      <c r="T78" s="107"/>
      <c r="U78" s="107"/>
      <c r="V78" s="103"/>
      <c r="W78" s="108">
        <v>0</v>
      </c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>
        <v>81</v>
      </c>
    </row>
    <row r="79" spans="1:38" s="139" customFormat="1" ht="30" customHeight="1">
      <c r="A79" s="103" t="s">
        <v>3</v>
      </c>
      <c r="B79" s="103" t="s">
        <v>357</v>
      </c>
      <c r="C79" s="105" t="s">
        <v>360</v>
      </c>
      <c r="D79" s="148">
        <v>0</v>
      </c>
      <c r="E79" s="105" t="s">
        <v>361</v>
      </c>
      <c r="F79" s="103"/>
      <c r="G79" s="103"/>
      <c r="H79" s="104" t="s">
        <v>161</v>
      </c>
      <c r="I79" s="106">
        <v>0</v>
      </c>
      <c r="J79" s="103"/>
      <c r="K79" s="106"/>
      <c r="L79" s="103"/>
      <c r="M79" s="106"/>
      <c r="N79" s="103"/>
      <c r="O79" s="103" t="s">
        <v>203</v>
      </c>
      <c r="P79" s="103" t="str">
        <f t="shared" si="4"/>
        <v>N4|Por Mejorar</v>
      </c>
      <c r="Q79" s="103" t="s">
        <v>194</v>
      </c>
      <c r="R79" s="103" t="str">
        <f>TRIM(tbl_BasePowerBI[[#This Row],[NOMBRE EJECUTIVO]])</f>
        <v>Valentina Párraga</v>
      </c>
      <c r="S79" s="103"/>
      <c r="T79" s="107"/>
      <c r="U79" s="107"/>
      <c r="V79" s="103"/>
      <c r="W79" s="108">
        <v>0</v>
      </c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>
        <v>84</v>
      </c>
    </row>
    <row r="80" spans="1:38" s="139" customFormat="1" ht="30" customHeight="1">
      <c r="A80" s="103" t="s">
        <v>3</v>
      </c>
      <c r="B80" s="103" t="s">
        <v>362</v>
      </c>
      <c r="C80" s="105" t="s">
        <v>363</v>
      </c>
      <c r="D80" s="148">
        <v>0</v>
      </c>
      <c r="E80" s="105" t="s">
        <v>364</v>
      </c>
      <c r="F80" s="103"/>
      <c r="G80" s="103"/>
      <c r="H80" s="104" t="s">
        <v>161</v>
      </c>
      <c r="I80" s="106">
        <v>0</v>
      </c>
      <c r="J80" s="103"/>
      <c r="K80" s="106"/>
      <c r="L80" s="103"/>
      <c r="M80" s="106"/>
      <c r="N80" s="103"/>
      <c r="O80" s="103" t="s">
        <v>203</v>
      </c>
      <c r="P80" s="103" t="str">
        <f t="shared" si="4"/>
        <v>N4|Por Mejorar</v>
      </c>
      <c r="Q80" s="103" t="s">
        <v>194</v>
      </c>
      <c r="R80" s="103" t="str">
        <f>TRIM(tbl_BasePowerBI[[#This Row],[NOMBRE EJECUTIVO]])</f>
        <v>Mauricio Agudelo</v>
      </c>
      <c r="S80" s="103"/>
      <c r="T80" s="107"/>
      <c r="U80" s="107"/>
      <c r="V80" s="103"/>
      <c r="W80" s="108">
        <v>0</v>
      </c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>
        <v>85</v>
      </c>
    </row>
    <row r="81" spans="1:39" s="139" customFormat="1" ht="30" customHeight="1">
      <c r="A81" s="103" t="s">
        <v>3</v>
      </c>
      <c r="B81" s="103" t="s">
        <v>362</v>
      </c>
      <c r="C81" s="105" t="s">
        <v>365</v>
      </c>
      <c r="D81" s="148">
        <v>0</v>
      </c>
      <c r="E81" s="105" t="s">
        <v>366</v>
      </c>
      <c r="F81" s="103"/>
      <c r="G81" s="103"/>
      <c r="H81" s="104" t="s">
        <v>161</v>
      </c>
      <c r="I81" s="106">
        <v>0</v>
      </c>
      <c r="J81" s="103"/>
      <c r="K81" s="106"/>
      <c r="L81" s="103"/>
      <c r="M81" s="106"/>
      <c r="N81" s="103"/>
      <c r="O81" s="103" t="s">
        <v>203</v>
      </c>
      <c r="P81" s="103" t="str">
        <f t="shared" si="4"/>
        <v>N4|Por Mejorar</v>
      </c>
      <c r="Q81" s="103" t="s">
        <v>194</v>
      </c>
      <c r="R81" s="103" t="str">
        <f>TRIM(tbl_BasePowerBI[[#This Row],[NOMBRE EJECUTIVO]])</f>
        <v>Mauricio Agudelo</v>
      </c>
      <c r="S81" s="103"/>
      <c r="T81" s="107"/>
      <c r="U81" s="107"/>
      <c r="V81" s="103"/>
      <c r="W81" s="108">
        <v>0</v>
      </c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>
        <v>86</v>
      </c>
    </row>
    <row r="82" spans="1:39" s="139" customFormat="1" ht="30" customHeight="1">
      <c r="A82" s="103" t="s">
        <v>3</v>
      </c>
      <c r="B82" s="103" t="s">
        <v>352</v>
      </c>
      <c r="C82" s="105" t="s">
        <v>98</v>
      </c>
      <c r="D82" s="148">
        <v>0</v>
      </c>
      <c r="E82" s="105" t="s">
        <v>367</v>
      </c>
      <c r="F82" s="103"/>
      <c r="G82" s="103"/>
      <c r="H82" s="104" t="s">
        <v>161</v>
      </c>
      <c r="I82" s="106">
        <v>0</v>
      </c>
      <c r="J82" s="103"/>
      <c r="K82" s="106"/>
      <c r="L82" s="103"/>
      <c r="M82" s="106"/>
      <c r="N82" s="103"/>
      <c r="O82" s="103" t="s">
        <v>203</v>
      </c>
      <c r="P82" s="103" t="str">
        <f t="shared" si="4"/>
        <v>N4|Por Mejorar</v>
      </c>
      <c r="Q82" s="103" t="s">
        <v>194</v>
      </c>
      <c r="R82" s="103" t="str">
        <f>TRIM(tbl_BasePowerBI[[#This Row],[NOMBRE EJECUTIVO]])</f>
        <v>Gina Tinjacá</v>
      </c>
      <c r="S82" s="103"/>
      <c r="T82" s="107"/>
      <c r="U82" s="107"/>
      <c r="V82" s="103"/>
      <c r="W82" s="108">
        <v>0</v>
      </c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>
        <v>87</v>
      </c>
    </row>
    <row r="83" spans="1:39" s="139" customFormat="1" ht="30" customHeight="1">
      <c r="A83" s="103" t="s">
        <v>3</v>
      </c>
      <c r="B83" s="103" t="s">
        <v>357</v>
      </c>
      <c r="C83" s="105" t="s">
        <v>368</v>
      </c>
      <c r="D83" s="148">
        <v>0</v>
      </c>
      <c r="E83" s="105" t="s">
        <v>369</v>
      </c>
      <c r="F83" s="103"/>
      <c r="G83" s="103"/>
      <c r="H83" s="104" t="s">
        <v>161</v>
      </c>
      <c r="I83" s="106">
        <v>0</v>
      </c>
      <c r="J83" s="103"/>
      <c r="K83" s="106"/>
      <c r="L83" s="103"/>
      <c r="M83" s="106"/>
      <c r="N83" s="103"/>
      <c r="O83" s="103" t="s">
        <v>203</v>
      </c>
      <c r="P83" s="103" t="str">
        <f t="shared" si="4"/>
        <v>N4|Por Mejorar</v>
      </c>
      <c r="Q83" s="103" t="s">
        <v>194</v>
      </c>
      <c r="R83" s="103" t="str">
        <f>TRIM(tbl_BasePowerBI[[#This Row],[NOMBRE EJECUTIVO]])</f>
        <v>Valentina Párraga</v>
      </c>
      <c r="S83" s="103"/>
      <c r="T83" s="107"/>
      <c r="U83" s="107"/>
      <c r="V83" s="103"/>
      <c r="W83" s="108">
        <v>0</v>
      </c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>
        <v>88</v>
      </c>
    </row>
    <row r="84" spans="1:39" s="139" customFormat="1" ht="51.75" customHeight="1">
      <c r="A84" s="116" t="s">
        <v>3</v>
      </c>
      <c r="B84" s="116" t="s">
        <v>127</v>
      </c>
      <c r="C84" s="116" t="s">
        <v>370</v>
      </c>
      <c r="D84" s="151">
        <v>200000000</v>
      </c>
      <c r="E84" s="116" t="s">
        <v>371</v>
      </c>
      <c r="F84" s="116"/>
      <c r="G84" s="116"/>
      <c r="H84" s="124" t="s">
        <v>161</v>
      </c>
      <c r="I84" s="117">
        <v>100</v>
      </c>
      <c r="J84" s="116" t="s">
        <v>162</v>
      </c>
      <c r="K84" s="117">
        <v>100</v>
      </c>
      <c r="L84" s="122" t="s">
        <v>163</v>
      </c>
      <c r="M84" s="117">
        <v>100</v>
      </c>
      <c r="N84" s="116"/>
      <c r="O84" s="116" t="s">
        <v>110</v>
      </c>
      <c r="P84" s="116" t="str">
        <f t="shared" si="4"/>
        <v>N4|Cerrada</v>
      </c>
      <c r="Q84" s="116" t="s">
        <v>164</v>
      </c>
      <c r="R84" s="116" t="str">
        <f>TRIM(tbl_BasePowerBI[[#This Row],[NOMBRE EJECUTIVO]])</f>
        <v>Luis López</v>
      </c>
      <c r="S84" s="116" t="s">
        <v>165</v>
      </c>
      <c r="T84" s="118">
        <v>46189</v>
      </c>
      <c r="U84" s="118">
        <v>46213</v>
      </c>
      <c r="V84" s="152" t="s">
        <v>372</v>
      </c>
      <c r="W84" s="153">
        <v>200000000</v>
      </c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>
        <v>89</v>
      </c>
      <c r="AM84" s="141">
        <f>SUM(tbl_BasePowerBI[[#This Row],[VALOR DE LA PROPUESTA]]+W110)</f>
        <v>248000000</v>
      </c>
    </row>
    <row r="85" spans="1:39" s="139" customFormat="1" ht="30" customHeight="1">
      <c r="A85" s="103" t="s">
        <v>3</v>
      </c>
      <c r="B85" s="103" t="s">
        <v>352</v>
      </c>
      <c r="C85" s="123" t="s">
        <v>14</v>
      </c>
      <c r="D85" s="148">
        <v>0</v>
      </c>
      <c r="E85" s="103"/>
      <c r="F85" s="103"/>
      <c r="G85" s="103"/>
      <c r="H85" s="168" t="s">
        <v>161</v>
      </c>
      <c r="I85" s="106"/>
      <c r="J85" s="103"/>
      <c r="K85" s="106"/>
      <c r="L85" s="103"/>
      <c r="M85" s="106"/>
      <c r="N85" s="103"/>
      <c r="O85" s="103" t="s">
        <v>203</v>
      </c>
      <c r="P85" s="103" t="str">
        <f t="shared" si="4"/>
        <v>N4|Por Mejorar</v>
      </c>
      <c r="Q85" s="103" t="s">
        <v>194</v>
      </c>
      <c r="R85" s="103" t="str">
        <f>TRIM(tbl_BasePowerBI[[#This Row],[NOMBRE EJECUTIVO]])</f>
        <v>Gina Tinjacá</v>
      </c>
      <c r="S85" s="103"/>
      <c r="T85" s="107"/>
      <c r="U85" s="107"/>
      <c r="V85" s="103"/>
      <c r="W85" s="108">
        <v>0</v>
      </c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>
        <v>90</v>
      </c>
    </row>
    <row r="86" spans="1:39" s="139" customFormat="1" ht="30" customHeight="1">
      <c r="A86" s="103" t="s">
        <v>3</v>
      </c>
      <c r="B86" s="103" t="s">
        <v>352</v>
      </c>
      <c r="C86" s="123" t="s">
        <v>20</v>
      </c>
      <c r="D86" s="148">
        <v>0</v>
      </c>
      <c r="E86" s="103"/>
      <c r="F86" s="103"/>
      <c r="G86" s="103"/>
      <c r="H86" s="168" t="s">
        <v>161</v>
      </c>
      <c r="I86" s="106"/>
      <c r="J86" s="103"/>
      <c r="K86" s="106"/>
      <c r="L86" s="103"/>
      <c r="M86" s="106"/>
      <c r="N86" s="103"/>
      <c r="O86" s="103" t="s">
        <v>203</v>
      </c>
      <c r="P86" s="103" t="str">
        <f t="shared" si="4"/>
        <v>N4|Por Mejorar</v>
      </c>
      <c r="Q86" s="103" t="s">
        <v>194</v>
      </c>
      <c r="R86" s="103" t="str">
        <f>TRIM(tbl_BasePowerBI[[#This Row],[NOMBRE EJECUTIVO]])</f>
        <v>Gina Tinjacá</v>
      </c>
      <c r="S86" s="103"/>
      <c r="T86" s="107"/>
      <c r="U86" s="107"/>
      <c r="V86" s="103"/>
      <c r="W86" s="108">
        <v>0</v>
      </c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>
        <v>91</v>
      </c>
    </row>
    <row r="87" spans="1:39" s="139" customFormat="1" ht="30" customHeight="1">
      <c r="A87" s="103" t="s">
        <v>3</v>
      </c>
      <c r="B87" s="103" t="s">
        <v>352</v>
      </c>
      <c r="C87" s="123" t="s">
        <v>26</v>
      </c>
      <c r="D87" s="148">
        <v>0</v>
      </c>
      <c r="E87" s="103"/>
      <c r="F87" s="103"/>
      <c r="G87" s="103"/>
      <c r="H87" s="168" t="s">
        <v>161</v>
      </c>
      <c r="I87" s="106"/>
      <c r="J87" s="103"/>
      <c r="K87" s="106"/>
      <c r="L87" s="103"/>
      <c r="M87" s="106"/>
      <c r="N87" s="103"/>
      <c r="O87" s="103" t="s">
        <v>203</v>
      </c>
      <c r="P87" s="103" t="str">
        <f t="shared" si="4"/>
        <v>N4|Por Mejorar</v>
      </c>
      <c r="Q87" s="103" t="s">
        <v>194</v>
      </c>
      <c r="R87" s="103" t="str">
        <f>TRIM(tbl_BasePowerBI[[#This Row],[NOMBRE EJECUTIVO]])</f>
        <v>Gina Tinjacá</v>
      </c>
      <c r="S87" s="103"/>
      <c r="T87" s="107"/>
      <c r="U87" s="107"/>
      <c r="V87" s="103"/>
      <c r="W87" s="108">
        <v>0</v>
      </c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>
        <v>92</v>
      </c>
    </row>
    <row r="88" spans="1:39" s="139" customFormat="1" ht="30" customHeight="1">
      <c r="A88" s="103" t="s">
        <v>3</v>
      </c>
      <c r="B88" s="103" t="s">
        <v>352</v>
      </c>
      <c r="C88" s="123" t="s">
        <v>32</v>
      </c>
      <c r="D88" s="148">
        <v>0</v>
      </c>
      <c r="E88" s="103"/>
      <c r="F88" s="103"/>
      <c r="G88" s="103"/>
      <c r="H88" s="168" t="s">
        <v>161</v>
      </c>
      <c r="I88" s="106"/>
      <c r="J88" s="103"/>
      <c r="K88" s="106"/>
      <c r="L88" s="103"/>
      <c r="M88" s="106"/>
      <c r="N88" s="103"/>
      <c r="O88" s="103" t="s">
        <v>203</v>
      </c>
      <c r="P88" s="103" t="str">
        <f t="shared" si="4"/>
        <v>N4|Por Mejorar</v>
      </c>
      <c r="Q88" s="103" t="s">
        <v>194</v>
      </c>
      <c r="R88" s="103" t="str">
        <f>TRIM(tbl_BasePowerBI[[#This Row],[NOMBRE EJECUTIVO]])</f>
        <v>Gina Tinjacá</v>
      </c>
      <c r="S88" s="103"/>
      <c r="T88" s="107"/>
      <c r="U88" s="107"/>
      <c r="V88" s="103"/>
      <c r="W88" s="108">
        <v>0</v>
      </c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>
        <v>93</v>
      </c>
    </row>
    <row r="89" spans="1:39" s="139" customFormat="1" ht="30" customHeight="1">
      <c r="A89" s="103" t="s">
        <v>3</v>
      </c>
      <c r="B89" s="103" t="s">
        <v>352</v>
      </c>
      <c r="C89" s="123" t="s">
        <v>39</v>
      </c>
      <c r="D89" s="148">
        <v>0</v>
      </c>
      <c r="E89" s="103"/>
      <c r="F89" s="103"/>
      <c r="G89" s="103"/>
      <c r="H89" s="168" t="s">
        <v>161</v>
      </c>
      <c r="I89" s="106"/>
      <c r="J89" s="103"/>
      <c r="K89" s="106"/>
      <c r="L89" s="103"/>
      <c r="M89" s="106"/>
      <c r="N89" s="103"/>
      <c r="O89" s="103" t="s">
        <v>203</v>
      </c>
      <c r="P89" s="103" t="str">
        <f t="shared" si="4"/>
        <v>N4|Por Mejorar</v>
      </c>
      <c r="Q89" s="103" t="s">
        <v>194</v>
      </c>
      <c r="R89" s="103" t="str">
        <f>TRIM(tbl_BasePowerBI[[#This Row],[NOMBRE EJECUTIVO]])</f>
        <v>Gina Tinjacá</v>
      </c>
      <c r="S89" s="103"/>
      <c r="T89" s="107"/>
      <c r="U89" s="107"/>
      <c r="V89" s="103"/>
      <c r="W89" s="108">
        <v>0</v>
      </c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>
        <v>94</v>
      </c>
    </row>
    <row r="90" spans="1:39" s="139" customFormat="1" ht="30" customHeight="1">
      <c r="A90" s="103" t="s">
        <v>3</v>
      </c>
      <c r="B90" s="103" t="s">
        <v>352</v>
      </c>
      <c r="C90" s="123" t="s">
        <v>45</v>
      </c>
      <c r="D90" s="148">
        <v>0</v>
      </c>
      <c r="E90" s="103"/>
      <c r="F90" s="103"/>
      <c r="G90" s="103"/>
      <c r="H90" s="168" t="s">
        <v>161</v>
      </c>
      <c r="I90" s="106"/>
      <c r="J90" s="103"/>
      <c r="K90" s="106"/>
      <c r="L90" s="103"/>
      <c r="M90" s="106"/>
      <c r="N90" s="103"/>
      <c r="O90" s="103" t="s">
        <v>203</v>
      </c>
      <c r="P90" s="103" t="str">
        <f t="shared" si="4"/>
        <v>N4|Por Mejorar</v>
      </c>
      <c r="Q90" s="103" t="s">
        <v>194</v>
      </c>
      <c r="R90" s="103" t="str">
        <f>TRIM(tbl_BasePowerBI[[#This Row],[NOMBRE EJECUTIVO]])</f>
        <v>Gina Tinjacá</v>
      </c>
      <c r="S90" s="103"/>
      <c r="T90" s="107"/>
      <c r="U90" s="107"/>
      <c r="V90" s="103"/>
      <c r="W90" s="108">
        <v>0</v>
      </c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>
        <v>95</v>
      </c>
      <c r="AL90" s="136"/>
    </row>
    <row r="91" spans="1:39" s="139" customFormat="1" ht="30" customHeight="1">
      <c r="A91" s="103" t="s">
        <v>3</v>
      </c>
      <c r="B91" s="103" t="s">
        <v>352</v>
      </c>
      <c r="C91" s="123" t="s">
        <v>52</v>
      </c>
      <c r="D91" s="148">
        <v>0</v>
      </c>
      <c r="E91" s="103"/>
      <c r="F91" s="103"/>
      <c r="G91" s="103"/>
      <c r="H91" s="168" t="s">
        <v>161</v>
      </c>
      <c r="I91" s="106"/>
      <c r="J91" s="103"/>
      <c r="K91" s="106"/>
      <c r="L91" s="103"/>
      <c r="M91" s="106"/>
      <c r="N91" s="103"/>
      <c r="O91" s="103" t="s">
        <v>203</v>
      </c>
      <c r="P91" s="103" t="str">
        <f t="shared" si="4"/>
        <v>N4|Por Mejorar</v>
      </c>
      <c r="Q91" s="103" t="s">
        <v>194</v>
      </c>
      <c r="R91" s="103" t="str">
        <f>TRIM(tbl_BasePowerBI[[#This Row],[NOMBRE EJECUTIVO]])</f>
        <v>Gina Tinjacá</v>
      </c>
      <c r="S91" s="103"/>
      <c r="T91" s="107"/>
      <c r="U91" s="107"/>
      <c r="V91" s="103"/>
      <c r="W91" s="108">
        <v>0</v>
      </c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>
        <v>96</v>
      </c>
    </row>
    <row r="92" spans="1:39" s="139" customFormat="1" ht="30" customHeight="1">
      <c r="A92" s="103" t="s">
        <v>3</v>
      </c>
      <c r="B92" s="103" t="s">
        <v>352</v>
      </c>
      <c r="C92" s="123" t="s">
        <v>58</v>
      </c>
      <c r="D92" s="148">
        <v>0</v>
      </c>
      <c r="E92" s="103"/>
      <c r="F92" s="103"/>
      <c r="G92" s="103"/>
      <c r="H92" s="168" t="s">
        <v>161</v>
      </c>
      <c r="I92" s="106"/>
      <c r="J92" s="103"/>
      <c r="K92" s="106"/>
      <c r="L92" s="103"/>
      <c r="M92" s="106"/>
      <c r="N92" s="103"/>
      <c r="O92" s="103" t="s">
        <v>203</v>
      </c>
      <c r="P92" s="103" t="str">
        <f t="shared" si="4"/>
        <v>N4|Por Mejorar</v>
      </c>
      <c r="Q92" s="103" t="s">
        <v>194</v>
      </c>
      <c r="R92" s="103" t="str">
        <f>TRIM(tbl_BasePowerBI[[#This Row],[NOMBRE EJECUTIVO]])</f>
        <v>Gina Tinjacá</v>
      </c>
      <c r="S92" s="103"/>
      <c r="T92" s="107"/>
      <c r="U92" s="107"/>
      <c r="V92" s="103"/>
      <c r="W92" s="108">
        <v>0</v>
      </c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>
        <v>97</v>
      </c>
      <c r="AL92" s="136"/>
    </row>
    <row r="93" spans="1:39" s="139" customFormat="1" ht="30" customHeight="1">
      <c r="A93" s="103" t="s">
        <v>3</v>
      </c>
      <c r="B93" s="103" t="s">
        <v>352</v>
      </c>
      <c r="C93" s="123" t="s">
        <v>63</v>
      </c>
      <c r="D93" s="148">
        <v>0</v>
      </c>
      <c r="E93" s="103"/>
      <c r="F93" s="103"/>
      <c r="G93" s="103"/>
      <c r="H93" s="168" t="s">
        <v>161</v>
      </c>
      <c r="I93" s="106"/>
      <c r="J93" s="103"/>
      <c r="K93" s="106"/>
      <c r="L93" s="103"/>
      <c r="M93" s="106"/>
      <c r="N93" s="103"/>
      <c r="O93" s="103" t="s">
        <v>203</v>
      </c>
      <c r="P93" s="103" t="str">
        <f t="shared" si="4"/>
        <v>N4|Por Mejorar</v>
      </c>
      <c r="Q93" s="103" t="s">
        <v>194</v>
      </c>
      <c r="R93" s="103" t="str">
        <f>TRIM(tbl_BasePowerBI[[#This Row],[NOMBRE EJECUTIVO]])</f>
        <v>Gina Tinjacá</v>
      </c>
      <c r="S93" s="103"/>
      <c r="T93" s="107"/>
      <c r="U93" s="107"/>
      <c r="V93" s="103"/>
      <c r="W93" s="108">
        <v>0</v>
      </c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>
        <v>98</v>
      </c>
      <c r="AL93" s="136"/>
    </row>
    <row r="94" spans="1:39" s="139" customFormat="1" ht="30" customHeight="1">
      <c r="A94" s="103" t="s">
        <v>3</v>
      </c>
      <c r="B94" s="103" t="s">
        <v>352</v>
      </c>
      <c r="C94" s="123" t="s">
        <v>66</v>
      </c>
      <c r="D94" s="148">
        <v>0</v>
      </c>
      <c r="E94" s="103"/>
      <c r="F94" s="103"/>
      <c r="G94" s="103"/>
      <c r="H94" s="168" t="s">
        <v>161</v>
      </c>
      <c r="I94" s="106"/>
      <c r="J94" s="103"/>
      <c r="K94" s="106"/>
      <c r="L94" s="103"/>
      <c r="M94" s="106"/>
      <c r="N94" s="103"/>
      <c r="O94" s="103" t="s">
        <v>203</v>
      </c>
      <c r="P94" s="103" t="str">
        <f t="shared" si="4"/>
        <v>N4|Por Mejorar</v>
      </c>
      <c r="Q94" s="103" t="s">
        <v>194</v>
      </c>
      <c r="R94" s="103" t="str">
        <f>TRIM(tbl_BasePowerBI[[#This Row],[NOMBRE EJECUTIVO]])</f>
        <v>Gina Tinjacá</v>
      </c>
      <c r="S94" s="103"/>
      <c r="T94" s="107"/>
      <c r="U94" s="107"/>
      <c r="V94" s="103"/>
      <c r="W94" s="108">
        <v>0</v>
      </c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>
        <v>99</v>
      </c>
    </row>
    <row r="95" spans="1:39" s="139" customFormat="1" ht="30" customHeight="1">
      <c r="A95" s="103" t="s">
        <v>3</v>
      </c>
      <c r="B95" s="103" t="s">
        <v>352</v>
      </c>
      <c r="C95" s="123" t="s">
        <v>69</v>
      </c>
      <c r="D95" s="148">
        <v>0</v>
      </c>
      <c r="E95" s="103"/>
      <c r="F95" s="103"/>
      <c r="G95" s="103"/>
      <c r="H95" s="168" t="s">
        <v>161</v>
      </c>
      <c r="I95" s="106"/>
      <c r="J95" s="103"/>
      <c r="K95" s="106"/>
      <c r="L95" s="103"/>
      <c r="M95" s="106"/>
      <c r="N95" s="103"/>
      <c r="O95" s="103" t="s">
        <v>203</v>
      </c>
      <c r="P95" s="103" t="str">
        <f t="shared" si="4"/>
        <v>N4|Por Mejorar</v>
      </c>
      <c r="Q95" s="103" t="s">
        <v>194</v>
      </c>
      <c r="R95" s="103" t="str">
        <f>TRIM(tbl_BasePowerBI[[#This Row],[NOMBRE EJECUTIVO]])</f>
        <v>Gina Tinjacá</v>
      </c>
      <c r="S95" s="103"/>
      <c r="T95" s="107"/>
      <c r="U95" s="107"/>
      <c r="V95" s="103"/>
      <c r="W95" s="108">
        <v>0</v>
      </c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>
        <v>100</v>
      </c>
    </row>
    <row r="96" spans="1:39" s="139" customFormat="1" ht="30" customHeight="1">
      <c r="A96" s="103" t="s">
        <v>3</v>
      </c>
      <c r="B96" s="103" t="s">
        <v>352</v>
      </c>
      <c r="C96" s="123" t="s">
        <v>72</v>
      </c>
      <c r="D96" s="148">
        <v>0</v>
      </c>
      <c r="E96" s="103"/>
      <c r="F96" s="103"/>
      <c r="G96" s="103"/>
      <c r="H96" s="168" t="s">
        <v>161</v>
      </c>
      <c r="I96" s="106"/>
      <c r="J96" s="103"/>
      <c r="K96" s="106"/>
      <c r="L96" s="103"/>
      <c r="M96" s="106"/>
      <c r="N96" s="103"/>
      <c r="O96" s="103" t="s">
        <v>203</v>
      </c>
      <c r="P96" s="103" t="str">
        <f t="shared" si="4"/>
        <v>N4|Por Mejorar</v>
      </c>
      <c r="Q96" s="103" t="s">
        <v>194</v>
      </c>
      <c r="R96" s="103" t="str">
        <f>TRIM(tbl_BasePowerBI[[#This Row],[NOMBRE EJECUTIVO]])</f>
        <v>Gina Tinjacá</v>
      </c>
      <c r="S96" s="103"/>
      <c r="T96" s="107"/>
      <c r="U96" s="107"/>
      <c r="V96" s="103"/>
      <c r="W96" s="108">
        <v>0</v>
      </c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>
        <v>101</v>
      </c>
    </row>
    <row r="97" spans="1:38" s="139" customFormat="1" ht="30" customHeight="1">
      <c r="A97" s="103" t="s">
        <v>3</v>
      </c>
      <c r="B97" s="103" t="s">
        <v>352</v>
      </c>
      <c r="C97" s="123" t="s">
        <v>76</v>
      </c>
      <c r="D97" s="148">
        <v>0</v>
      </c>
      <c r="E97" s="103"/>
      <c r="F97" s="103"/>
      <c r="G97" s="103"/>
      <c r="H97" s="168" t="s">
        <v>161</v>
      </c>
      <c r="I97" s="106"/>
      <c r="J97" s="103"/>
      <c r="K97" s="106"/>
      <c r="L97" s="103"/>
      <c r="M97" s="106"/>
      <c r="N97" s="103"/>
      <c r="O97" s="103" t="s">
        <v>203</v>
      </c>
      <c r="P97" s="103" t="str">
        <f t="shared" si="4"/>
        <v>N4|Por Mejorar</v>
      </c>
      <c r="Q97" s="103" t="s">
        <v>194</v>
      </c>
      <c r="R97" s="103" t="str">
        <f>TRIM(tbl_BasePowerBI[[#This Row],[NOMBRE EJECUTIVO]])</f>
        <v>Gina Tinjacá</v>
      </c>
      <c r="S97" s="103"/>
      <c r="T97" s="107"/>
      <c r="U97" s="107"/>
      <c r="V97" s="103"/>
      <c r="W97" s="108">
        <v>0</v>
      </c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>
        <v>102</v>
      </c>
    </row>
    <row r="98" spans="1:38" s="139" customFormat="1" ht="30" customHeight="1">
      <c r="A98" s="103" t="s">
        <v>3</v>
      </c>
      <c r="B98" s="103" t="s">
        <v>352</v>
      </c>
      <c r="C98" s="123" t="s">
        <v>78</v>
      </c>
      <c r="D98" s="148">
        <v>0</v>
      </c>
      <c r="E98" s="103"/>
      <c r="F98" s="103"/>
      <c r="G98" s="103"/>
      <c r="H98" s="168" t="s">
        <v>161</v>
      </c>
      <c r="I98" s="106"/>
      <c r="J98" s="103"/>
      <c r="K98" s="106"/>
      <c r="L98" s="103"/>
      <c r="M98" s="106"/>
      <c r="N98" s="103"/>
      <c r="O98" s="103" t="s">
        <v>203</v>
      </c>
      <c r="P98" s="103" t="str">
        <f t="shared" ref="P98:P129" si="5">A98&amp;"|"&amp;O98</f>
        <v>N4|Por Mejorar</v>
      </c>
      <c r="Q98" s="103" t="s">
        <v>194</v>
      </c>
      <c r="R98" s="103" t="str">
        <f>TRIM(tbl_BasePowerBI[[#This Row],[NOMBRE EJECUTIVO]])</f>
        <v>Gina Tinjacá</v>
      </c>
      <c r="S98" s="103"/>
      <c r="T98" s="107"/>
      <c r="U98" s="107"/>
      <c r="V98" s="103"/>
      <c r="W98" s="108">
        <v>0</v>
      </c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>
        <v>103</v>
      </c>
    </row>
    <row r="99" spans="1:38" s="139" customFormat="1" ht="30" customHeight="1">
      <c r="A99" s="103" t="s">
        <v>3</v>
      </c>
      <c r="B99" s="103" t="s">
        <v>352</v>
      </c>
      <c r="C99" s="123" t="s">
        <v>80</v>
      </c>
      <c r="D99" s="148">
        <v>0</v>
      </c>
      <c r="E99" s="103"/>
      <c r="F99" s="103"/>
      <c r="G99" s="103"/>
      <c r="H99" s="168" t="s">
        <v>161</v>
      </c>
      <c r="I99" s="106"/>
      <c r="J99" s="103"/>
      <c r="K99" s="106"/>
      <c r="L99" s="103"/>
      <c r="M99" s="106"/>
      <c r="N99" s="103"/>
      <c r="O99" s="103" t="s">
        <v>203</v>
      </c>
      <c r="P99" s="103" t="str">
        <f t="shared" si="5"/>
        <v>N4|Por Mejorar</v>
      </c>
      <c r="Q99" s="103" t="s">
        <v>194</v>
      </c>
      <c r="R99" s="103" t="str">
        <f>TRIM(tbl_BasePowerBI[[#This Row],[NOMBRE EJECUTIVO]])</f>
        <v>Gina Tinjacá</v>
      </c>
      <c r="S99" s="103"/>
      <c r="T99" s="107"/>
      <c r="U99" s="107"/>
      <c r="V99" s="103"/>
      <c r="W99" s="108">
        <v>0</v>
      </c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>
        <v>104</v>
      </c>
    </row>
    <row r="100" spans="1:38" s="139" customFormat="1" ht="30" customHeight="1">
      <c r="A100" s="103" t="s">
        <v>3</v>
      </c>
      <c r="B100" s="103" t="s">
        <v>352</v>
      </c>
      <c r="C100" s="123" t="s">
        <v>82</v>
      </c>
      <c r="D100" s="148">
        <v>0</v>
      </c>
      <c r="E100" s="103"/>
      <c r="F100" s="103"/>
      <c r="G100" s="103"/>
      <c r="H100" s="168" t="s">
        <v>161</v>
      </c>
      <c r="I100" s="106"/>
      <c r="J100" s="103"/>
      <c r="K100" s="106"/>
      <c r="L100" s="103"/>
      <c r="M100" s="106"/>
      <c r="N100" s="103"/>
      <c r="O100" s="103" t="s">
        <v>203</v>
      </c>
      <c r="P100" s="103" t="str">
        <f t="shared" si="5"/>
        <v>N4|Por Mejorar</v>
      </c>
      <c r="Q100" s="103" t="s">
        <v>194</v>
      </c>
      <c r="R100" s="103" t="str">
        <f>TRIM(tbl_BasePowerBI[[#This Row],[NOMBRE EJECUTIVO]])</f>
        <v>Gina Tinjacá</v>
      </c>
      <c r="S100" s="103"/>
      <c r="T100" s="107"/>
      <c r="U100" s="107"/>
      <c r="V100" s="103"/>
      <c r="W100" s="108">
        <v>0</v>
      </c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>
        <v>105</v>
      </c>
    </row>
    <row r="101" spans="1:38" s="139" customFormat="1" ht="30" customHeight="1">
      <c r="A101" s="103" t="s">
        <v>3</v>
      </c>
      <c r="B101" s="103" t="s">
        <v>352</v>
      </c>
      <c r="C101" s="123" t="s">
        <v>84</v>
      </c>
      <c r="D101" s="148">
        <v>0</v>
      </c>
      <c r="E101" s="103"/>
      <c r="F101" s="103"/>
      <c r="G101" s="103"/>
      <c r="H101" s="168" t="s">
        <v>161</v>
      </c>
      <c r="I101" s="106"/>
      <c r="J101" s="103"/>
      <c r="K101" s="106"/>
      <c r="L101" s="103"/>
      <c r="M101" s="106"/>
      <c r="N101" s="103"/>
      <c r="O101" s="103" t="s">
        <v>203</v>
      </c>
      <c r="P101" s="103" t="str">
        <f t="shared" si="5"/>
        <v>N4|Por Mejorar</v>
      </c>
      <c r="Q101" s="103" t="s">
        <v>194</v>
      </c>
      <c r="R101" s="103" t="str">
        <f>TRIM(tbl_BasePowerBI[[#This Row],[NOMBRE EJECUTIVO]])</f>
        <v>Gina Tinjacá</v>
      </c>
      <c r="S101" s="103"/>
      <c r="T101" s="107"/>
      <c r="U101" s="107"/>
      <c r="V101" s="103"/>
      <c r="W101" s="108">
        <v>0</v>
      </c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>
        <v>106</v>
      </c>
    </row>
    <row r="102" spans="1:38" s="139" customFormat="1" ht="30" customHeight="1">
      <c r="A102" s="103" t="s">
        <v>3</v>
      </c>
      <c r="B102" s="103" t="s">
        <v>352</v>
      </c>
      <c r="C102" s="123" t="s">
        <v>86</v>
      </c>
      <c r="D102" s="148">
        <v>0</v>
      </c>
      <c r="E102" s="103"/>
      <c r="F102" s="103"/>
      <c r="G102" s="103"/>
      <c r="H102" s="168" t="s">
        <v>161</v>
      </c>
      <c r="I102" s="106"/>
      <c r="J102" s="103"/>
      <c r="K102" s="106"/>
      <c r="L102" s="103"/>
      <c r="M102" s="106"/>
      <c r="N102" s="103"/>
      <c r="O102" s="103" t="s">
        <v>203</v>
      </c>
      <c r="P102" s="103" t="str">
        <f t="shared" si="5"/>
        <v>N4|Por Mejorar</v>
      </c>
      <c r="Q102" s="103" t="s">
        <v>194</v>
      </c>
      <c r="R102" s="103" t="str">
        <f>TRIM(tbl_BasePowerBI[[#This Row],[NOMBRE EJECUTIVO]])</f>
        <v>Gina Tinjacá</v>
      </c>
      <c r="S102" s="103"/>
      <c r="T102" s="107"/>
      <c r="U102" s="107"/>
      <c r="V102" s="103"/>
      <c r="W102" s="108">
        <v>0</v>
      </c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>
        <v>107</v>
      </c>
    </row>
    <row r="103" spans="1:38" s="139" customFormat="1" ht="30" customHeight="1">
      <c r="A103" s="103" t="s">
        <v>3</v>
      </c>
      <c r="B103" s="103" t="s">
        <v>352</v>
      </c>
      <c r="C103" s="123" t="s">
        <v>88</v>
      </c>
      <c r="D103" s="148">
        <v>0</v>
      </c>
      <c r="E103" s="103"/>
      <c r="F103" s="103"/>
      <c r="G103" s="103"/>
      <c r="H103" s="168" t="s">
        <v>161</v>
      </c>
      <c r="I103" s="106"/>
      <c r="J103" s="103"/>
      <c r="K103" s="106"/>
      <c r="L103" s="103"/>
      <c r="M103" s="106"/>
      <c r="N103" s="103"/>
      <c r="O103" s="103" t="s">
        <v>203</v>
      </c>
      <c r="P103" s="103" t="str">
        <f t="shared" si="5"/>
        <v>N4|Por Mejorar</v>
      </c>
      <c r="Q103" s="103" t="s">
        <v>194</v>
      </c>
      <c r="R103" s="103" t="str">
        <f>TRIM(tbl_BasePowerBI[[#This Row],[NOMBRE EJECUTIVO]])</f>
        <v>Gina Tinjacá</v>
      </c>
      <c r="S103" s="103"/>
      <c r="T103" s="107"/>
      <c r="U103" s="107"/>
      <c r="V103" s="103"/>
      <c r="W103" s="108">
        <v>0</v>
      </c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>
        <v>108</v>
      </c>
      <c r="AL103" s="136"/>
    </row>
    <row r="104" spans="1:38" s="139" customFormat="1" ht="30" customHeight="1">
      <c r="A104" s="103" t="s">
        <v>3</v>
      </c>
      <c r="B104" s="103" t="s">
        <v>352</v>
      </c>
      <c r="C104" s="123" t="s">
        <v>90</v>
      </c>
      <c r="D104" s="148">
        <v>0</v>
      </c>
      <c r="E104" s="103"/>
      <c r="F104" s="103"/>
      <c r="G104" s="103"/>
      <c r="H104" s="168" t="s">
        <v>161</v>
      </c>
      <c r="I104" s="106"/>
      <c r="J104" s="103"/>
      <c r="K104" s="106"/>
      <c r="L104" s="103"/>
      <c r="M104" s="106"/>
      <c r="N104" s="103"/>
      <c r="O104" s="103" t="s">
        <v>203</v>
      </c>
      <c r="P104" s="103" t="str">
        <f t="shared" si="5"/>
        <v>N4|Por Mejorar</v>
      </c>
      <c r="Q104" s="103" t="s">
        <v>194</v>
      </c>
      <c r="R104" s="103" t="str">
        <f>TRIM(tbl_BasePowerBI[[#This Row],[NOMBRE EJECUTIVO]])</f>
        <v>Gina Tinjacá</v>
      </c>
      <c r="S104" s="103"/>
      <c r="T104" s="107"/>
      <c r="U104" s="107"/>
      <c r="V104" s="103"/>
      <c r="W104" s="108">
        <v>0</v>
      </c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>
        <v>109</v>
      </c>
    </row>
    <row r="105" spans="1:38" s="139" customFormat="1" ht="30" customHeight="1">
      <c r="A105" s="103" t="s">
        <v>3</v>
      </c>
      <c r="B105" s="103" t="s">
        <v>352</v>
      </c>
      <c r="C105" s="123" t="s">
        <v>92</v>
      </c>
      <c r="D105" s="148">
        <v>0</v>
      </c>
      <c r="E105" s="103"/>
      <c r="F105" s="103"/>
      <c r="G105" s="103"/>
      <c r="H105" s="168" t="s">
        <v>161</v>
      </c>
      <c r="I105" s="106"/>
      <c r="J105" s="103"/>
      <c r="K105" s="106"/>
      <c r="L105" s="103"/>
      <c r="M105" s="106"/>
      <c r="N105" s="103"/>
      <c r="O105" s="103" t="s">
        <v>203</v>
      </c>
      <c r="P105" s="103" t="str">
        <f t="shared" si="5"/>
        <v>N4|Por Mejorar</v>
      </c>
      <c r="Q105" s="103" t="s">
        <v>194</v>
      </c>
      <c r="R105" s="103" t="str">
        <f>TRIM(tbl_BasePowerBI[[#This Row],[NOMBRE EJECUTIVO]])</f>
        <v>Gina Tinjacá</v>
      </c>
      <c r="S105" s="103"/>
      <c r="T105" s="107"/>
      <c r="U105" s="107"/>
      <c r="V105" s="103"/>
      <c r="W105" s="108">
        <v>0</v>
      </c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>
        <v>112</v>
      </c>
    </row>
    <row r="106" spans="1:38" s="139" customFormat="1" ht="30" customHeight="1">
      <c r="A106" s="103" t="s">
        <v>3</v>
      </c>
      <c r="B106" s="103" t="s">
        <v>352</v>
      </c>
      <c r="C106" s="123" t="s">
        <v>94</v>
      </c>
      <c r="D106" s="148">
        <v>0</v>
      </c>
      <c r="E106" s="103"/>
      <c r="F106" s="103"/>
      <c r="G106" s="103"/>
      <c r="H106" s="168" t="s">
        <v>161</v>
      </c>
      <c r="I106" s="106"/>
      <c r="J106" s="103"/>
      <c r="K106" s="106"/>
      <c r="L106" s="103"/>
      <c r="M106" s="106"/>
      <c r="N106" s="103"/>
      <c r="O106" s="103" t="s">
        <v>203</v>
      </c>
      <c r="P106" s="103" t="str">
        <f t="shared" si="5"/>
        <v>N4|Por Mejorar</v>
      </c>
      <c r="Q106" s="103" t="s">
        <v>194</v>
      </c>
      <c r="R106" s="103" t="str">
        <f>TRIM(tbl_BasePowerBI[[#This Row],[NOMBRE EJECUTIVO]])</f>
        <v>Gina Tinjacá</v>
      </c>
      <c r="S106" s="103"/>
      <c r="T106" s="107"/>
      <c r="U106" s="107"/>
      <c r="V106" s="103"/>
      <c r="W106" s="108">
        <v>0</v>
      </c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>
        <v>113</v>
      </c>
    </row>
    <row r="107" spans="1:38" s="139" customFormat="1" ht="30" customHeight="1">
      <c r="A107" s="103" t="s">
        <v>3</v>
      </c>
      <c r="B107" s="103" t="s">
        <v>352</v>
      </c>
      <c r="C107" s="123" t="s">
        <v>96</v>
      </c>
      <c r="D107" s="148">
        <v>0</v>
      </c>
      <c r="E107" s="103"/>
      <c r="F107" s="103"/>
      <c r="G107" s="103"/>
      <c r="H107" s="168" t="s">
        <v>161</v>
      </c>
      <c r="I107" s="106"/>
      <c r="J107" s="103"/>
      <c r="K107" s="106"/>
      <c r="L107" s="103"/>
      <c r="M107" s="106"/>
      <c r="N107" s="103"/>
      <c r="O107" s="103" t="s">
        <v>203</v>
      </c>
      <c r="P107" s="103" t="str">
        <f t="shared" si="5"/>
        <v>N4|Por Mejorar</v>
      </c>
      <c r="Q107" s="103" t="s">
        <v>194</v>
      </c>
      <c r="R107" s="103" t="str">
        <f>TRIM(tbl_BasePowerBI[[#This Row],[NOMBRE EJECUTIVO]])</f>
        <v>Gina Tinjacá</v>
      </c>
      <c r="S107" s="103"/>
      <c r="T107" s="107"/>
      <c r="U107" s="107"/>
      <c r="V107" s="103"/>
      <c r="W107" s="108">
        <v>0</v>
      </c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>
        <v>114</v>
      </c>
    </row>
    <row r="108" spans="1:38" s="139" customFormat="1" ht="30" customHeight="1">
      <c r="A108" s="103" t="s">
        <v>3</v>
      </c>
      <c r="B108" s="103" t="s">
        <v>352</v>
      </c>
      <c r="C108" s="123" t="s">
        <v>97</v>
      </c>
      <c r="D108" s="148">
        <v>0</v>
      </c>
      <c r="E108" s="103"/>
      <c r="F108" s="103"/>
      <c r="G108" s="103"/>
      <c r="H108" s="168" t="s">
        <v>161</v>
      </c>
      <c r="I108" s="106"/>
      <c r="J108" s="103"/>
      <c r="K108" s="106"/>
      <c r="L108" s="103"/>
      <c r="M108" s="106"/>
      <c r="N108" s="103"/>
      <c r="O108" s="103" t="s">
        <v>203</v>
      </c>
      <c r="P108" s="103" t="str">
        <f t="shared" si="5"/>
        <v>N4|Por Mejorar</v>
      </c>
      <c r="Q108" s="103" t="s">
        <v>194</v>
      </c>
      <c r="R108" s="103" t="str">
        <f>TRIM(tbl_BasePowerBI[[#This Row],[NOMBRE EJECUTIVO]])</f>
        <v>Gina Tinjacá</v>
      </c>
      <c r="S108" s="103"/>
      <c r="T108" s="107"/>
      <c r="U108" s="107"/>
      <c r="V108" s="103"/>
      <c r="W108" s="108">
        <v>0</v>
      </c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>
        <v>115</v>
      </c>
    </row>
    <row r="109" spans="1:38" s="139" customFormat="1" ht="30" customHeight="1">
      <c r="A109" s="116" t="s">
        <v>3</v>
      </c>
      <c r="B109" s="116" t="s">
        <v>126</v>
      </c>
      <c r="C109" s="116" t="s">
        <v>373</v>
      </c>
      <c r="D109" s="151">
        <v>15000000</v>
      </c>
      <c r="E109" s="124" t="s">
        <v>202</v>
      </c>
      <c r="F109" s="116"/>
      <c r="G109" s="116"/>
      <c r="H109" s="124" t="s">
        <v>225</v>
      </c>
      <c r="I109" s="117">
        <v>100</v>
      </c>
      <c r="J109" s="124" t="s">
        <v>226</v>
      </c>
      <c r="K109" s="117">
        <v>100</v>
      </c>
      <c r="L109" s="116" t="s">
        <v>238</v>
      </c>
      <c r="M109" s="117">
        <v>100</v>
      </c>
      <c r="N109" s="116"/>
      <c r="O109" s="116" t="s">
        <v>110</v>
      </c>
      <c r="P109" s="116" t="str">
        <f t="shared" si="5"/>
        <v>N4|Cerrada</v>
      </c>
      <c r="Q109" s="116" t="s">
        <v>164</v>
      </c>
      <c r="R109" s="116" t="str">
        <f>TRIM(tbl_BasePowerBI[[#This Row],[NOMBRE EJECUTIVO]])</f>
        <v>Karen Perez</v>
      </c>
      <c r="S109" s="116" t="s">
        <v>195</v>
      </c>
      <c r="T109" s="118">
        <v>46210</v>
      </c>
      <c r="U109" s="118">
        <v>46210</v>
      </c>
      <c r="V109" s="154" t="s">
        <v>374</v>
      </c>
      <c r="W109" s="119">
        <v>15577700</v>
      </c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>
        <v>116</v>
      </c>
    </row>
    <row r="110" spans="1:38" s="139" customFormat="1" ht="30" customHeight="1">
      <c r="A110" s="116" t="s">
        <v>3</v>
      </c>
      <c r="B110" s="116" t="s">
        <v>126</v>
      </c>
      <c r="C110" s="116" t="s">
        <v>375</v>
      </c>
      <c r="D110" s="151">
        <v>47000000</v>
      </c>
      <c r="E110" s="116" t="s">
        <v>376</v>
      </c>
      <c r="F110" s="116"/>
      <c r="G110" s="116"/>
      <c r="H110" s="124" t="s">
        <v>225</v>
      </c>
      <c r="I110" s="117">
        <v>100</v>
      </c>
      <c r="J110" s="116" t="s">
        <v>377</v>
      </c>
      <c r="K110" s="117">
        <v>100</v>
      </c>
      <c r="L110" s="116"/>
      <c r="M110" s="117">
        <v>100</v>
      </c>
      <c r="N110" s="116"/>
      <c r="O110" s="116" t="s">
        <v>110</v>
      </c>
      <c r="P110" s="116" t="str">
        <f t="shared" si="5"/>
        <v>N4|Cerrada</v>
      </c>
      <c r="Q110" s="116" t="s">
        <v>164</v>
      </c>
      <c r="R110" s="116" t="str">
        <f>TRIM(tbl_BasePowerBI[[#This Row],[NOMBRE EJECUTIVO]])</f>
        <v>Karen Perez</v>
      </c>
      <c r="S110" s="116" t="s">
        <v>165</v>
      </c>
      <c r="T110" s="118">
        <v>46200</v>
      </c>
      <c r="U110" s="118">
        <v>46200</v>
      </c>
      <c r="V110" s="154" t="s">
        <v>172</v>
      </c>
      <c r="W110" s="153">
        <v>48000000</v>
      </c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>
        <v>118</v>
      </c>
    </row>
    <row r="111" spans="1:38" s="139" customFormat="1" ht="30" customHeight="1">
      <c r="A111" s="98" t="s">
        <v>3</v>
      </c>
      <c r="B111" s="98" t="s">
        <v>126</v>
      </c>
      <c r="C111" s="98" t="s">
        <v>378</v>
      </c>
      <c r="D111" s="145">
        <v>30000000</v>
      </c>
      <c r="E111" s="98" t="s">
        <v>379</v>
      </c>
      <c r="F111" s="98"/>
      <c r="G111" s="98"/>
      <c r="H111" s="98" t="s">
        <v>380</v>
      </c>
      <c r="I111" s="99">
        <v>100</v>
      </c>
      <c r="J111" s="98" t="s">
        <v>381</v>
      </c>
      <c r="K111" s="99">
        <v>50</v>
      </c>
      <c r="L111" s="98"/>
      <c r="M111" s="99"/>
      <c r="N111" s="98"/>
      <c r="O111" s="98" t="s">
        <v>109</v>
      </c>
      <c r="P111" s="98" t="str">
        <f t="shared" si="5"/>
        <v>N4|En seguimiento</v>
      </c>
      <c r="Q111" s="98" t="s">
        <v>164</v>
      </c>
      <c r="R111" s="98" t="str">
        <f>TRIM(tbl_BasePowerBI[[#This Row],[NOMBRE EJECUTIVO]])</f>
        <v>Karen Perez</v>
      </c>
      <c r="S111" s="98" t="s">
        <v>195</v>
      </c>
      <c r="T111" s="100">
        <v>46217</v>
      </c>
      <c r="U111" s="100">
        <v>46217</v>
      </c>
      <c r="V111" s="146" t="s">
        <v>382</v>
      </c>
      <c r="W111" s="110">
        <v>27980000</v>
      </c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>
        <v>119</v>
      </c>
    </row>
    <row r="112" spans="1:38" s="139" customFormat="1" ht="30" customHeight="1">
      <c r="A112" s="98" t="s">
        <v>3</v>
      </c>
      <c r="B112" s="98" t="s">
        <v>126</v>
      </c>
      <c r="C112" s="102" t="s">
        <v>383</v>
      </c>
      <c r="D112" s="145">
        <v>15000000</v>
      </c>
      <c r="E112" s="102" t="s">
        <v>384</v>
      </c>
      <c r="F112" s="98"/>
      <c r="G112" s="98"/>
      <c r="H112" s="102" t="s">
        <v>225</v>
      </c>
      <c r="I112" s="99">
        <v>100</v>
      </c>
      <c r="J112" s="102" t="s">
        <v>226</v>
      </c>
      <c r="K112" s="99">
        <v>50</v>
      </c>
      <c r="L112" s="98"/>
      <c r="M112" s="99">
        <v>50</v>
      </c>
      <c r="N112" s="98"/>
      <c r="O112" s="98" t="s">
        <v>109</v>
      </c>
      <c r="P112" s="98" t="str">
        <f t="shared" si="5"/>
        <v>N4|En seguimiento</v>
      </c>
      <c r="Q112" s="98" t="s">
        <v>164</v>
      </c>
      <c r="R112" s="98" t="str">
        <f>TRIM(tbl_BasePowerBI[[#This Row],[NOMBRE EJECUTIVO]])</f>
        <v>Karen Perez</v>
      </c>
      <c r="S112" s="98" t="s">
        <v>195</v>
      </c>
      <c r="T112" s="100">
        <v>46217</v>
      </c>
      <c r="U112" s="107">
        <v>46218</v>
      </c>
      <c r="V112" s="121" t="s">
        <v>385</v>
      </c>
      <c r="W112" s="147">
        <v>10300000</v>
      </c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>
        <v>120</v>
      </c>
    </row>
    <row r="113" spans="1:38" s="139" customFormat="1" ht="63" customHeight="1">
      <c r="A113" s="98" t="s">
        <v>4</v>
      </c>
      <c r="B113" s="109" t="s">
        <v>129</v>
      </c>
      <c r="C113" s="98" t="s">
        <v>386</v>
      </c>
      <c r="D113" s="145">
        <v>45700000</v>
      </c>
      <c r="E113" s="98" t="s">
        <v>387</v>
      </c>
      <c r="F113" s="98"/>
      <c r="G113" s="98"/>
      <c r="H113" s="102" t="s">
        <v>388</v>
      </c>
      <c r="I113" s="99">
        <v>100</v>
      </c>
      <c r="J113" s="102" t="s">
        <v>226</v>
      </c>
      <c r="K113" s="99">
        <v>100</v>
      </c>
      <c r="L113" s="99"/>
      <c r="M113" s="99">
        <v>50</v>
      </c>
      <c r="N113" s="98"/>
      <c r="O113" s="98" t="s">
        <v>109</v>
      </c>
      <c r="P113" s="98" t="str">
        <f t="shared" si="5"/>
        <v>N5|En seguimiento</v>
      </c>
      <c r="Q113" s="98" t="s">
        <v>194</v>
      </c>
      <c r="R113" s="98" t="s">
        <v>389</v>
      </c>
      <c r="S113" s="98" t="s">
        <v>165</v>
      </c>
      <c r="T113" s="100">
        <v>46203</v>
      </c>
      <c r="U113" s="107">
        <v>46203</v>
      </c>
      <c r="V113" s="121" t="s">
        <v>390</v>
      </c>
      <c r="W113" s="147">
        <v>24664200</v>
      </c>
      <c r="X113" s="86"/>
      <c r="Y113" s="86"/>
      <c r="Z113" s="86" t="s">
        <v>391</v>
      </c>
      <c r="AA113" s="89"/>
      <c r="AB113" s="89"/>
      <c r="AC113" s="89" t="s">
        <v>3</v>
      </c>
      <c r="AD113" s="89" t="s">
        <v>110</v>
      </c>
      <c r="AE113" s="90" t="e" vm="12">
        <v>#VALUE!</v>
      </c>
      <c r="AF113" s="89"/>
      <c r="AG113" s="89" t="str">
        <f>AC113&amp;"|"&amp;AD113</f>
        <v>N4|Cerrada</v>
      </c>
      <c r="AH113" s="86"/>
      <c r="AI113" s="86"/>
      <c r="AJ113" s="86">
        <v>121</v>
      </c>
    </row>
    <row r="114" spans="1:38" s="139" customFormat="1" ht="30" customHeight="1">
      <c r="A114" s="103" t="s">
        <v>4</v>
      </c>
      <c r="B114" s="105" t="s">
        <v>129</v>
      </c>
      <c r="C114" s="103" t="s">
        <v>392</v>
      </c>
      <c r="D114" s="148">
        <v>8000000</v>
      </c>
      <c r="E114" s="103" t="s">
        <v>393</v>
      </c>
      <c r="F114" s="103"/>
      <c r="G114" s="103"/>
      <c r="H114" s="104" t="s">
        <v>161</v>
      </c>
      <c r="I114" s="106">
        <v>0</v>
      </c>
      <c r="J114" s="103"/>
      <c r="K114" s="106">
        <v>0</v>
      </c>
      <c r="L114" s="103"/>
      <c r="M114" s="106">
        <v>0</v>
      </c>
      <c r="N114" s="103"/>
      <c r="O114" s="103" t="s">
        <v>203</v>
      </c>
      <c r="P114" s="103" t="str">
        <f t="shared" si="5"/>
        <v>N5|Por Mejorar</v>
      </c>
      <c r="Q114" s="103" t="s">
        <v>194</v>
      </c>
      <c r="R114" s="103" t="str">
        <f>TRIM(tbl_BasePowerBI[[#This Row],[NOMBRE EJECUTIVO]])</f>
        <v>Luz Karime Hernandez</v>
      </c>
      <c r="S114" s="103"/>
      <c r="T114" s="107"/>
      <c r="U114" s="107"/>
      <c r="V114" s="103"/>
      <c r="W114" s="108">
        <v>0</v>
      </c>
      <c r="X114" s="86"/>
      <c r="Y114" s="86"/>
      <c r="Z114" s="86"/>
      <c r="AA114" s="89"/>
      <c r="AB114" s="89"/>
      <c r="AC114" s="89" t="s">
        <v>4</v>
      </c>
      <c r="AD114" s="89" t="s">
        <v>203</v>
      </c>
      <c r="AE114" s="90" t="e" vm="13">
        <v>#VALUE!</v>
      </c>
      <c r="AF114" s="89"/>
      <c r="AG114" s="89" t="str">
        <f>AC114&amp;"|"&amp;AD114</f>
        <v>N5|Por Mejorar</v>
      </c>
      <c r="AH114" s="86"/>
      <c r="AI114" s="86"/>
      <c r="AJ114" s="86">
        <v>122</v>
      </c>
    </row>
    <row r="115" spans="1:38" s="139" customFormat="1" ht="30" customHeight="1">
      <c r="A115" s="103" t="s">
        <v>4</v>
      </c>
      <c r="B115" s="105" t="s">
        <v>394</v>
      </c>
      <c r="C115" s="103" t="s">
        <v>395</v>
      </c>
      <c r="D115" s="148">
        <v>4000000</v>
      </c>
      <c r="E115" s="103" t="s">
        <v>396</v>
      </c>
      <c r="F115" s="103"/>
      <c r="G115" s="103"/>
      <c r="H115" s="104" t="s">
        <v>161</v>
      </c>
      <c r="I115" s="106">
        <v>0</v>
      </c>
      <c r="J115" s="103"/>
      <c r="K115" s="106">
        <v>0</v>
      </c>
      <c r="L115" s="103"/>
      <c r="M115" s="106">
        <v>0</v>
      </c>
      <c r="N115" s="103"/>
      <c r="O115" s="103" t="s">
        <v>203</v>
      </c>
      <c r="P115" s="103" t="str">
        <f t="shared" si="5"/>
        <v>N5|Por Mejorar</v>
      </c>
      <c r="Q115" s="103" t="s">
        <v>194</v>
      </c>
      <c r="R115" s="103" t="str">
        <f>TRIM(tbl_BasePowerBI[[#This Row],[NOMBRE EJECUTIVO]])</f>
        <v>Ana Maria Castañeda</v>
      </c>
      <c r="S115" s="103"/>
      <c r="T115" s="107"/>
      <c r="U115" s="107"/>
      <c r="V115" s="103"/>
      <c r="W115" s="108">
        <v>0</v>
      </c>
      <c r="X115" s="86"/>
      <c r="Y115" s="86"/>
      <c r="Z115" s="86"/>
      <c r="AA115" s="89"/>
      <c r="AB115" s="89"/>
      <c r="AC115" s="89" t="s">
        <v>4</v>
      </c>
      <c r="AD115" s="89" t="s">
        <v>109</v>
      </c>
      <c r="AE115" s="90" t="e" vm="14">
        <v>#VALUE!</v>
      </c>
      <c r="AF115" s="89"/>
      <c r="AG115" s="89" t="str">
        <f>AC115&amp;"|"&amp;AD115</f>
        <v>N5|En seguimiento</v>
      </c>
      <c r="AH115" s="86"/>
      <c r="AI115" s="86"/>
      <c r="AJ115" s="86">
        <v>123</v>
      </c>
    </row>
    <row r="116" spans="1:38" s="139" customFormat="1" ht="30" customHeight="1">
      <c r="A116" s="103" t="s">
        <v>4</v>
      </c>
      <c r="B116" s="105" t="s">
        <v>394</v>
      </c>
      <c r="C116" s="103" t="s">
        <v>397</v>
      </c>
      <c r="D116" s="148">
        <v>0</v>
      </c>
      <c r="E116" s="103" t="s">
        <v>398</v>
      </c>
      <c r="F116" s="103"/>
      <c r="G116" s="103"/>
      <c r="H116" s="104" t="s">
        <v>161</v>
      </c>
      <c r="I116" s="106">
        <v>0</v>
      </c>
      <c r="J116" s="103"/>
      <c r="K116" s="106">
        <v>0</v>
      </c>
      <c r="L116" s="103"/>
      <c r="M116" s="106">
        <v>0</v>
      </c>
      <c r="N116" s="103"/>
      <c r="O116" s="103" t="s">
        <v>203</v>
      </c>
      <c r="P116" s="103" t="str">
        <f t="shared" si="5"/>
        <v>N5|Por Mejorar</v>
      </c>
      <c r="Q116" s="103" t="s">
        <v>194</v>
      </c>
      <c r="R116" s="103" t="str">
        <f>TRIM(tbl_BasePowerBI[[#This Row],[NOMBRE EJECUTIVO]])</f>
        <v>Ana Maria Castañeda</v>
      </c>
      <c r="S116" s="103"/>
      <c r="T116" s="107"/>
      <c r="U116" s="107"/>
      <c r="V116" s="103"/>
      <c r="W116" s="108">
        <v>0</v>
      </c>
      <c r="X116" s="86"/>
      <c r="Y116" s="86"/>
      <c r="Z116" s="86"/>
      <c r="AA116" s="89"/>
      <c r="AB116" s="89"/>
      <c r="AC116" s="89" t="s">
        <v>4</v>
      </c>
      <c r="AD116" s="89" t="s">
        <v>110</v>
      </c>
      <c r="AE116" s="90" t="e" vm="15">
        <v>#VALUE!</v>
      </c>
      <c r="AF116" s="89"/>
      <c r="AG116" s="89" t="str">
        <f>AC116&amp;"|"&amp;AD116</f>
        <v>N5|Cerrada</v>
      </c>
      <c r="AH116" s="86"/>
      <c r="AI116" s="86"/>
      <c r="AJ116" s="86">
        <v>124</v>
      </c>
    </row>
    <row r="117" spans="1:38" s="139" customFormat="1" ht="44.25" customHeight="1">
      <c r="A117" s="103" t="s">
        <v>4</v>
      </c>
      <c r="B117" s="105" t="s">
        <v>394</v>
      </c>
      <c r="C117" s="103" t="s">
        <v>399</v>
      </c>
      <c r="D117" s="148">
        <v>0</v>
      </c>
      <c r="E117" s="103" t="s">
        <v>400</v>
      </c>
      <c r="F117" s="103"/>
      <c r="G117" s="103"/>
      <c r="H117" s="104" t="s">
        <v>161</v>
      </c>
      <c r="I117" s="106">
        <v>0</v>
      </c>
      <c r="J117" s="103"/>
      <c r="K117" s="106">
        <v>0</v>
      </c>
      <c r="L117" s="103"/>
      <c r="M117" s="106">
        <v>0</v>
      </c>
      <c r="N117" s="103"/>
      <c r="O117" s="103" t="s">
        <v>203</v>
      </c>
      <c r="P117" s="103" t="str">
        <f t="shared" si="5"/>
        <v>N5|Por Mejorar</v>
      </c>
      <c r="Q117" s="103" t="s">
        <v>194</v>
      </c>
      <c r="R117" s="103" t="str">
        <f>TRIM(tbl_BasePowerBI[[#This Row],[NOMBRE EJECUTIVO]])</f>
        <v>Ana Maria Castañeda</v>
      </c>
      <c r="S117" s="103"/>
      <c r="T117" s="107"/>
      <c r="U117" s="107"/>
      <c r="V117" s="103"/>
      <c r="W117" s="108">
        <v>0</v>
      </c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>
        <v>125</v>
      </c>
    </row>
    <row r="118" spans="1:38" ht="30" customHeight="1">
      <c r="A118" s="103" t="s">
        <v>4</v>
      </c>
      <c r="B118" s="105" t="s">
        <v>394</v>
      </c>
      <c r="C118" s="103" t="s">
        <v>401</v>
      </c>
      <c r="D118" s="148">
        <v>0</v>
      </c>
      <c r="E118" s="103" t="s">
        <v>402</v>
      </c>
      <c r="F118" s="103"/>
      <c r="G118" s="103"/>
      <c r="H118" s="104" t="s">
        <v>161</v>
      </c>
      <c r="I118" s="106">
        <v>0</v>
      </c>
      <c r="J118" s="103"/>
      <c r="K118" s="106">
        <v>0</v>
      </c>
      <c r="L118" s="103"/>
      <c r="M118" s="106">
        <v>0</v>
      </c>
      <c r="N118" s="103"/>
      <c r="O118" s="103" t="s">
        <v>203</v>
      </c>
      <c r="P118" s="103" t="str">
        <f t="shared" si="5"/>
        <v>N5|Por Mejorar</v>
      </c>
      <c r="Q118" s="103" t="s">
        <v>194</v>
      </c>
      <c r="R118" s="103" t="str">
        <f>TRIM(tbl_BasePowerBI[[#This Row],[NOMBRE EJECUTIVO]])</f>
        <v>Ana Maria Castañeda</v>
      </c>
      <c r="S118" s="103"/>
      <c r="T118" s="107"/>
      <c r="U118" s="107"/>
      <c r="V118" s="103"/>
      <c r="W118" s="108">
        <v>0</v>
      </c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J118" s="86">
        <v>126</v>
      </c>
    </row>
    <row r="119" spans="1:38" ht="30" customHeight="1">
      <c r="A119" s="103" t="s">
        <v>4</v>
      </c>
      <c r="B119" s="105" t="s">
        <v>128</v>
      </c>
      <c r="C119" s="103" t="s">
        <v>403</v>
      </c>
      <c r="D119" s="148">
        <v>0</v>
      </c>
      <c r="E119" s="103" t="s">
        <v>404</v>
      </c>
      <c r="F119" s="103"/>
      <c r="G119" s="103"/>
      <c r="H119" s="104" t="s">
        <v>161</v>
      </c>
      <c r="I119" s="106">
        <v>0</v>
      </c>
      <c r="J119" s="103"/>
      <c r="K119" s="106">
        <v>0</v>
      </c>
      <c r="L119" s="103"/>
      <c r="M119" s="106">
        <v>0</v>
      </c>
      <c r="N119" s="103"/>
      <c r="O119" s="103" t="s">
        <v>203</v>
      </c>
      <c r="P119" s="103" t="str">
        <f t="shared" si="5"/>
        <v>N5|Por Mejorar</v>
      </c>
      <c r="Q119" s="103" t="s">
        <v>194</v>
      </c>
      <c r="R119" s="103" t="str">
        <f>TRIM(tbl_BasePowerBI[[#This Row],[NOMBRE EJECUTIVO]])</f>
        <v>Carol Beltan</v>
      </c>
      <c r="S119" s="103"/>
      <c r="T119" s="107"/>
      <c r="U119" s="107"/>
      <c r="V119" s="103"/>
      <c r="W119" s="108">
        <v>0</v>
      </c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J119" s="86">
        <v>127</v>
      </c>
      <c r="AL119" s="139"/>
    </row>
    <row r="120" spans="1:38" ht="30" customHeight="1">
      <c r="A120" s="103" t="s">
        <v>4</v>
      </c>
      <c r="B120" s="105" t="s">
        <v>128</v>
      </c>
      <c r="C120" s="103" t="s">
        <v>405</v>
      </c>
      <c r="D120" s="148">
        <v>0</v>
      </c>
      <c r="E120" s="103" t="s">
        <v>406</v>
      </c>
      <c r="F120" s="103"/>
      <c r="G120" s="103"/>
      <c r="H120" s="104" t="s">
        <v>161</v>
      </c>
      <c r="I120" s="106">
        <v>0</v>
      </c>
      <c r="J120" s="103"/>
      <c r="K120" s="106">
        <v>0</v>
      </c>
      <c r="L120" s="103"/>
      <c r="M120" s="106">
        <v>0</v>
      </c>
      <c r="N120" s="103"/>
      <c r="O120" s="103" t="s">
        <v>203</v>
      </c>
      <c r="P120" s="103" t="str">
        <f t="shared" si="5"/>
        <v>N5|Por Mejorar</v>
      </c>
      <c r="Q120" s="103" t="s">
        <v>194</v>
      </c>
      <c r="R120" s="103" t="str">
        <f>TRIM(tbl_BasePowerBI[[#This Row],[NOMBRE EJECUTIVO]])</f>
        <v>Carol Beltan</v>
      </c>
      <c r="S120" s="103"/>
      <c r="T120" s="107"/>
      <c r="U120" s="107"/>
      <c r="V120" s="103"/>
      <c r="W120" s="108">
        <v>0</v>
      </c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J120" s="86">
        <v>128</v>
      </c>
    </row>
    <row r="121" spans="1:38" ht="30" customHeight="1">
      <c r="A121" s="103" t="s">
        <v>4</v>
      </c>
      <c r="B121" s="105" t="s">
        <v>128</v>
      </c>
      <c r="C121" s="103" t="s">
        <v>407</v>
      </c>
      <c r="D121" s="148">
        <v>0</v>
      </c>
      <c r="E121" s="103" t="s">
        <v>408</v>
      </c>
      <c r="F121" s="103"/>
      <c r="G121" s="103"/>
      <c r="H121" s="104" t="s">
        <v>161</v>
      </c>
      <c r="I121" s="106">
        <v>0</v>
      </c>
      <c r="J121" s="103"/>
      <c r="K121" s="106">
        <v>0</v>
      </c>
      <c r="L121" s="103"/>
      <c r="M121" s="106">
        <v>0</v>
      </c>
      <c r="N121" s="103"/>
      <c r="O121" s="103" t="s">
        <v>203</v>
      </c>
      <c r="P121" s="103" t="str">
        <f t="shared" si="5"/>
        <v>N5|Por Mejorar</v>
      </c>
      <c r="Q121" s="103" t="s">
        <v>194</v>
      </c>
      <c r="R121" s="103" t="str">
        <f>TRIM(tbl_BasePowerBI[[#This Row],[NOMBRE EJECUTIVO]])</f>
        <v>Carol Beltan</v>
      </c>
      <c r="S121" s="103"/>
      <c r="T121" s="107"/>
      <c r="U121" s="107"/>
      <c r="V121" s="103"/>
      <c r="W121" s="108">
        <v>0</v>
      </c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J121" s="86">
        <v>129</v>
      </c>
    </row>
    <row r="122" spans="1:38" ht="30" customHeight="1">
      <c r="A122" s="103" t="s">
        <v>4</v>
      </c>
      <c r="B122" s="105" t="s">
        <v>130</v>
      </c>
      <c r="C122" s="103" t="s">
        <v>409</v>
      </c>
      <c r="D122" s="148">
        <v>0</v>
      </c>
      <c r="E122" s="103" t="s">
        <v>410</v>
      </c>
      <c r="F122" s="103"/>
      <c r="G122" s="103"/>
      <c r="H122" s="104" t="s">
        <v>161</v>
      </c>
      <c r="I122" s="106">
        <v>0</v>
      </c>
      <c r="J122" s="103"/>
      <c r="K122" s="106">
        <v>0</v>
      </c>
      <c r="L122" s="103"/>
      <c r="M122" s="106">
        <v>0</v>
      </c>
      <c r="N122" s="103"/>
      <c r="O122" s="103" t="s">
        <v>203</v>
      </c>
      <c r="P122" s="103" t="str">
        <f t="shared" si="5"/>
        <v>N5|Por Mejorar</v>
      </c>
      <c r="Q122" s="103" t="s">
        <v>194</v>
      </c>
      <c r="R122" s="103" t="str">
        <f>TRIM(tbl_BasePowerBI[[#This Row],[NOMBRE EJECUTIVO]])</f>
        <v>Raul Herrera</v>
      </c>
      <c r="S122" s="103"/>
      <c r="T122" s="107"/>
      <c r="U122" s="107"/>
      <c r="V122" s="103"/>
      <c r="W122" s="108">
        <v>0</v>
      </c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J122" s="86">
        <v>130</v>
      </c>
      <c r="AL122" s="139"/>
    </row>
    <row r="123" spans="1:38" ht="53.25" customHeight="1">
      <c r="A123" s="103" t="s">
        <v>4</v>
      </c>
      <c r="B123" s="105" t="s">
        <v>130</v>
      </c>
      <c r="C123" s="103" t="s">
        <v>411</v>
      </c>
      <c r="D123" s="148">
        <v>0</v>
      </c>
      <c r="E123" s="103" t="s">
        <v>412</v>
      </c>
      <c r="F123" s="103"/>
      <c r="G123" s="103"/>
      <c r="H123" s="104" t="s">
        <v>161</v>
      </c>
      <c r="I123" s="106">
        <v>0</v>
      </c>
      <c r="J123" s="103"/>
      <c r="K123" s="106">
        <v>0</v>
      </c>
      <c r="L123" s="103"/>
      <c r="M123" s="106">
        <v>0</v>
      </c>
      <c r="N123" s="103"/>
      <c r="O123" s="103" t="s">
        <v>203</v>
      </c>
      <c r="P123" s="103" t="str">
        <f t="shared" si="5"/>
        <v>N5|Por Mejorar</v>
      </c>
      <c r="Q123" s="103" t="s">
        <v>194</v>
      </c>
      <c r="R123" s="103" t="str">
        <f>TRIM(tbl_BasePowerBI[[#This Row],[NOMBRE EJECUTIVO]])</f>
        <v>Raul Herrera</v>
      </c>
      <c r="S123" s="103"/>
      <c r="T123" s="107"/>
      <c r="U123" s="107"/>
      <c r="V123" s="103"/>
      <c r="W123" s="108">
        <v>0</v>
      </c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J123" s="86">
        <v>131</v>
      </c>
      <c r="AL123" s="139"/>
    </row>
    <row r="124" spans="1:38" ht="30" customHeight="1">
      <c r="A124" s="98" t="s">
        <v>4</v>
      </c>
      <c r="B124" s="98" t="s">
        <v>128</v>
      </c>
      <c r="C124" s="98" t="s">
        <v>413</v>
      </c>
      <c r="D124" s="145">
        <v>50000000</v>
      </c>
      <c r="E124" s="98" t="s">
        <v>414</v>
      </c>
      <c r="F124" s="98"/>
      <c r="G124" s="98"/>
      <c r="H124" s="102" t="s">
        <v>161</v>
      </c>
      <c r="I124" s="99">
        <v>100</v>
      </c>
      <c r="J124" s="102" t="s">
        <v>226</v>
      </c>
      <c r="K124" s="99">
        <v>100</v>
      </c>
      <c r="L124" s="98" t="s">
        <v>171</v>
      </c>
      <c r="M124" s="99">
        <v>100</v>
      </c>
      <c r="N124" s="98"/>
      <c r="O124" s="98" t="s">
        <v>109</v>
      </c>
      <c r="P124" s="98" t="str">
        <f t="shared" si="5"/>
        <v>N5|En seguimiento</v>
      </c>
      <c r="Q124" s="98" t="s">
        <v>262</v>
      </c>
      <c r="R124" s="98" t="str">
        <f>TRIM(tbl_BasePowerBI[[#This Row],[NOMBRE EJECUTIVO]])</f>
        <v>Carol Beltan</v>
      </c>
      <c r="S124" s="98" t="s">
        <v>165</v>
      </c>
      <c r="T124" s="100">
        <v>46174</v>
      </c>
      <c r="U124" s="100">
        <v>46174</v>
      </c>
      <c r="V124" s="146" t="s">
        <v>415</v>
      </c>
      <c r="W124" s="108">
        <v>60000000</v>
      </c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J124" s="86">
        <v>132</v>
      </c>
      <c r="AL124" s="139"/>
    </row>
    <row r="125" spans="1:38" ht="30" customHeight="1">
      <c r="A125" s="116" t="s">
        <v>4</v>
      </c>
      <c r="B125" s="116" t="s">
        <v>128</v>
      </c>
      <c r="C125" s="116" t="s">
        <v>416</v>
      </c>
      <c r="D125" s="151">
        <v>20000000</v>
      </c>
      <c r="E125" s="116" t="s">
        <v>178</v>
      </c>
      <c r="F125" s="116"/>
      <c r="G125" s="116"/>
      <c r="H125" s="124" t="s">
        <v>161</v>
      </c>
      <c r="I125" s="117">
        <v>100</v>
      </c>
      <c r="J125" s="124" t="s">
        <v>226</v>
      </c>
      <c r="K125" s="117">
        <v>100</v>
      </c>
      <c r="L125" s="116" t="s">
        <v>163</v>
      </c>
      <c r="M125" s="117">
        <v>100</v>
      </c>
      <c r="N125" s="116"/>
      <c r="O125" s="116" t="s">
        <v>110</v>
      </c>
      <c r="P125" s="116" t="str">
        <f t="shared" si="5"/>
        <v>N5|Cerrada</v>
      </c>
      <c r="Q125" s="116" t="s">
        <v>262</v>
      </c>
      <c r="R125" s="116" t="str">
        <f>TRIM(tbl_BasePowerBI[[#This Row],[NOMBRE EJECUTIVO]])</f>
        <v>Carol Beltan</v>
      </c>
      <c r="S125" s="116" t="s">
        <v>165</v>
      </c>
      <c r="T125" s="118">
        <v>46182</v>
      </c>
      <c r="U125" s="118">
        <v>46182</v>
      </c>
      <c r="V125" s="116"/>
      <c r="W125" s="125">
        <v>18000000</v>
      </c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J125" s="86">
        <v>133</v>
      </c>
      <c r="AL125" s="139"/>
    </row>
    <row r="126" spans="1:38" ht="30" customHeight="1">
      <c r="A126" s="98" t="s">
        <v>4</v>
      </c>
      <c r="B126" s="98" t="s">
        <v>128</v>
      </c>
      <c r="C126" s="98" t="s">
        <v>417</v>
      </c>
      <c r="D126" s="145">
        <v>40000000</v>
      </c>
      <c r="E126" s="98" t="s">
        <v>418</v>
      </c>
      <c r="F126" s="98"/>
      <c r="G126" s="98"/>
      <c r="H126" s="102" t="s">
        <v>161</v>
      </c>
      <c r="I126" s="102">
        <v>100</v>
      </c>
      <c r="J126" s="102" t="s">
        <v>226</v>
      </c>
      <c r="K126" s="99">
        <v>100</v>
      </c>
      <c r="L126" s="98" t="s">
        <v>163</v>
      </c>
      <c r="M126" s="99">
        <v>50</v>
      </c>
      <c r="N126" s="98"/>
      <c r="O126" s="98" t="s">
        <v>109</v>
      </c>
      <c r="P126" s="98" t="str">
        <f t="shared" si="5"/>
        <v>N5|En seguimiento</v>
      </c>
      <c r="Q126" s="98" t="s">
        <v>164</v>
      </c>
      <c r="R126" s="98" t="s">
        <v>419</v>
      </c>
      <c r="S126" s="98" t="s">
        <v>165</v>
      </c>
      <c r="T126" s="100">
        <v>46199</v>
      </c>
      <c r="U126" s="107">
        <v>46195</v>
      </c>
      <c r="V126" s="146" t="s">
        <v>420</v>
      </c>
      <c r="W126" s="147">
        <v>45000000</v>
      </c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J126" s="86">
        <v>134</v>
      </c>
    </row>
    <row r="127" spans="1:38" ht="30" customHeight="1">
      <c r="A127" s="103" t="s">
        <v>4</v>
      </c>
      <c r="B127" s="104" t="s">
        <v>128</v>
      </c>
      <c r="C127" s="105" t="s">
        <v>421</v>
      </c>
      <c r="D127" s="148">
        <v>0</v>
      </c>
      <c r="E127" s="103"/>
      <c r="F127" s="103"/>
      <c r="G127" s="103"/>
      <c r="H127" s="168" t="s">
        <v>161</v>
      </c>
      <c r="I127" s="106">
        <v>0</v>
      </c>
      <c r="J127" s="103"/>
      <c r="K127" s="106"/>
      <c r="L127" s="103"/>
      <c r="M127" s="106"/>
      <c r="N127" s="103"/>
      <c r="O127" s="103" t="s">
        <v>203</v>
      </c>
      <c r="P127" s="103" t="str">
        <f t="shared" si="5"/>
        <v>N5|Por Mejorar</v>
      </c>
      <c r="Q127" s="103" t="s">
        <v>194</v>
      </c>
      <c r="R127" s="103" t="str">
        <f>TRIM(tbl_BasePowerBI[[#This Row],[NOMBRE EJECUTIVO]])</f>
        <v>Carol Beltan</v>
      </c>
      <c r="S127" s="103"/>
      <c r="T127" s="107"/>
      <c r="U127" s="107"/>
      <c r="V127" s="103"/>
      <c r="W127" s="126">
        <v>0</v>
      </c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J127" s="86">
        <v>135</v>
      </c>
    </row>
    <row r="128" spans="1:38" ht="30" customHeight="1">
      <c r="A128" s="103" t="s">
        <v>4</v>
      </c>
      <c r="B128" s="104" t="s">
        <v>130</v>
      </c>
      <c r="C128" s="105" t="s">
        <v>411</v>
      </c>
      <c r="D128" s="148">
        <v>0</v>
      </c>
      <c r="E128" s="103"/>
      <c r="F128" s="103"/>
      <c r="G128" s="103"/>
      <c r="H128" s="168" t="s">
        <v>161</v>
      </c>
      <c r="I128" s="106">
        <v>0</v>
      </c>
      <c r="J128" s="103"/>
      <c r="K128" s="106"/>
      <c r="L128" s="103"/>
      <c r="M128" s="106"/>
      <c r="N128" s="103"/>
      <c r="O128" s="103" t="s">
        <v>203</v>
      </c>
      <c r="P128" s="103" t="str">
        <f t="shared" si="5"/>
        <v>N5|Por Mejorar</v>
      </c>
      <c r="Q128" s="103" t="s">
        <v>194</v>
      </c>
      <c r="R128" s="103" t="str">
        <f>TRIM(tbl_BasePowerBI[[#This Row],[NOMBRE EJECUTIVO]])</f>
        <v>Raul Herrera</v>
      </c>
      <c r="S128" s="103"/>
      <c r="T128" s="107"/>
      <c r="U128" s="107"/>
      <c r="V128" s="103"/>
      <c r="W128" s="108">
        <v>0</v>
      </c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</row>
    <row r="129" spans="1:39" s="139" customFormat="1" ht="30" customHeight="1">
      <c r="A129" s="116" t="s">
        <v>4</v>
      </c>
      <c r="B129" s="124" t="s">
        <v>394</v>
      </c>
      <c r="C129" s="127" t="s">
        <v>422</v>
      </c>
      <c r="D129" s="151">
        <v>30000000</v>
      </c>
      <c r="E129" s="116"/>
      <c r="F129" s="116"/>
      <c r="G129" s="116"/>
      <c r="H129" s="124" t="s">
        <v>161</v>
      </c>
      <c r="I129" s="117">
        <v>100</v>
      </c>
      <c r="J129" s="116" t="s">
        <v>331</v>
      </c>
      <c r="K129" s="117">
        <v>100</v>
      </c>
      <c r="L129" s="116" t="s">
        <v>423</v>
      </c>
      <c r="M129" s="117">
        <v>100</v>
      </c>
      <c r="N129" s="116"/>
      <c r="O129" s="116" t="s">
        <v>110</v>
      </c>
      <c r="P129" s="116" t="str">
        <f t="shared" si="5"/>
        <v>N5|Cerrada</v>
      </c>
      <c r="Q129" s="116" t="s">
        <v>194</v>
      </c>
      <c r="R129" s="116" t="str">
        <f>TRIM(tbl_BasePowerBI[[#This Row],[NOMBRE EJECUTIVO]])</f>
        <v>Ana Maria Castañeda</v>
      </c>
      <c r="S129" s="116" t="s">
        <v>165</v>
      </c>
      <c r="T129" s="118"/>
      <c r="U129" s="118"/>
      <c r="V129" s="116"/>
      <c r="W129" s="108">
        <v>30000000</v>
      </c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</row>
    <row r="130" spans="1:39" ht="30" customHeight="1">
      <c r="A130" s="103" t="s">
        <v>4</v>
      </c>
      <c r="B130" s="104" t="s">
        <v>130</v>
      </c>
      <c r="C130" s="105" t="s">
        <v>424</v>
      </c>
      <c r="D130" s="148">
        <v>0</v>
      </c>
      <c r="E130" s="103"/>
      <c r="F130" s="103"/>
      <c r="G130" s="103"/>
      <c r="H130" s="168" t="s">
        <v>161</v>
      </c>
      <c r="I130" s="106">
        <v>0</v>
      </c>
      <c r="J130" s="103"/>
      <c r="K130" s="106"/>
      <c r="L130" s="103"/>
      <c r="M130" s="106"/>
      <c r="N130" s="103"/>
      <c r="O130" s="103" t="s">
        <v>203</v>
      </c>
      <c r="P130" s="103" t="str">
        <f t="shared" ref="P130:P134" si="6">A130&amp;"|"&amp;O130</f>
        <v>N5|Por Mejorar</v>
      </c>
      <c r="Q130" s="103" t="s">
        <v>194</v>
      </c>
      <c r="R130" s="103" t="str">
        <f>TRIM(tbl_BasePowerBI[[#This Row],[NOMBRE EJECUTIVO]])</f>
        <v>Raul Herrera</v>
      </c>
      <c r="S130" s="103"/>
      <c r="T130" s="107"/>
      <c r="U130" s="107"/>
      <c r="V130" s="103"/>
      <c r="W130" s="108">
        <v>0</v>
      </c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M130" s="142"/>
    </row>
    <row r="131" spans="1:39" ht="30" customHeight="1">
      <c r="A131" s="98" t="s">
        <v>4</v>
      </c>
      <c r="B131" s="155" t="s">
        <v>130</v>
      </c>
      <c r="C131" s="98" t="s">
        <v>425</v>
      </c>
      <c r="D131" s="145">
        <v>35000000</v>
      </c>
      <c r="E131" s="102" t="s">
        <v>426</v>
      </c>
      <c r="F131" s="98"/>
      <c r="G131" s="98"/>
      <c r="H131" s="102" t="s">
        <v>225</v>
      </c>
      <c r="I131" s="99">
        <v>100</v>
      </c>
      <c r="J131" s="102" t="s">
        <v>226</v>
      </c>
      <c r="K131" s="99">
        <v>100</v>
      </c>
      <c r="L131" s="98"/>
      <c r="M131" s="99">
        <v>50</v>
      </c>
      <c r="N131" s="98"/>
      <c r="O131" s="98" t="s">
        <v>109</v>
      </c>
      <c r="P131" s="98" t="str">
        <f t="shared" si="6"/>
        <v>N5|En seguimiento</v>
      </c>
      <c r="Q131" s="98" t="s">
        <v>164</v>
      </c>
      <c r="R131" s="98" t="str">
        <f>TRIM(tbl_BasePowerBI[[#This Row],[NOMBRE EJECUTIVO]])</f>
        <v>Raul Herrera</v>
      </c>
      <c r="S131" s="98" t="s">
        <v>195</v>
      </c>
      <c r="T131" s="100">
        <v>46206</v>
      </c>
      <c r="U131" s="100">
        <v>46206</v>
      </c>
      <c r="V131" s="146" t="s">
        <v>427</v>
      </c>
      <c r="W131" s="147">
        <v>39000000</v>
      </c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</row>
    <row r="132" spans="1:39" ht="30" customHeight="1">
      <c r="A132" s="112" t="s">
        <v>4</v>
      </c>
      <c r="B132" s="112" t="s">
        <v>128</v>
      </c>
      <c r="C132" s="112" t="s">
        <v>428</v>
      </c>
      <c r="D132" s="156">
        <v>8000000</v>
      </c>
      <c r="E132" s="111" t="s">
        <v>429</v>
      </c>
      <c r="F132" s="112"/>
      <c r="G132" s="112"/>
      <c r="H132" s="128" t="s">
        <v>225</v>
      </c>
      <c r="I132" s="114">
        <v>100</v>
      </c>
      <c r="J132" s="128" t="s">
        <v>226</v>
      </c>
      <c r="K132" s="114">
        <v>100</v>
      </c>
      <c r="L132" s="112"/>
      <c r="M132" s="114">
        <v>50</v>
      </c>
      <c r="N132" s="112"/>
      <c r="O132" s="112" t="s">
        <v>109</v>
      </c>
      <c r="P132" s="112" t="str">
        <f t="shared" si="6"/>
        <v>N5|En seguimiento</v>
      </c>
      <c r="Q132" s="112" t="s">
        <v>164</v>
      </c>
      <c r="R132" s="112" t="str">
        <f>TRIM(tbl_BasePowerBI[[#This Row],[NOMBRE EJECUTIVO]])</f>
        <v>Carol Beltan</v>
      </c>
      <c r="S132" s="112" t="s">
        <v>195</v>
      </c>
      <c r="T132" s="129">
        <v>46210</v>
      </c>
      <c r="U132" s="129">
        <v>46210</v>
      </c>
      <c r="V132" s="157" t="s">
        <v>430</v>
      </c>
      <c r="W132" s="135">
        <v>8500000</v>
      </c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</row>
    <row r="133" spans="1:39" ht="30" customHeight="1">
      <c r="A133" s="112" t="s">
        <v>4</v>
      </c>
      <c r="B133" s="112" t="s">
        <v>128</v>
      </c>
      <c r="C133" s="158" t="s">
        <v>431</v>
      </c>
      <c r="D133" s="156">
        <v>40000000</v>
      </c>
      <c r="E133" s="158" t="s">
        <v>432</v>
      </c>
      <c r="F133" s="112"/>
      <c r="G133" s="112"/>
      <c r="H133" s="128" t="s">
        <v>225</v>
      </c>
      <c r="I133" s="114">
        <v>100</v>
      </c>
      <c r="J133" s="128" t="s">
        <v>226</v>
      </c>
      <c r="K133" s="114">
        <v>50</v>
      </c>
      <c r="L133" s="112"/>
      <c r="M133" s="114">
        <v>50</v>
      </c>
      <c r="N133" s="112"/>
      <c r="O133" s="112" t="s">
        <v>109</v>
      </c>
      <c r="P133" s="112" t="str">
        <f t="shared" si="6"/>
        <v>N5|En seguimiento</v>
      </c>
      <c r="Q133" s="112" t="s">
        <v>164</v>
      </c>
      <c r="R133" s="112" t="str">
        <f>TRIM(tbl_BasePowerBI[[#This Row],[NOMBRE EJECUTIVO]])</f>
        <v>Carol Beltan</v>
      </c>
      <c r="S133" s="112" t="s">
        <v>195</v>
      </c>
      <c r="T133" s="129">
        <v>46213</v>
      </c>
      <c r="U133" s="129">
        <v>46218</v>
      </c>
      <c r="V133" s="157" t="s">
        <v>433</v>
      </c>
      <c r="W133" s="135">
        <v>45000000</v>
      </c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</row>
    <row r="134" spans="1:39" ht="51.95" customHeight="1">
      <c r="A134" s="112" t="s">
        <v>4</v>
      </c>
      <c r="B134" s="112" t="s">
        <v>129</v>
      </c>
      <c r="C134" s="112" t="s">
        <v>434</v>
      </c>
      <c r="D134" s="156">
        <v>48000000</v>
      </c>
      <c r="E134" s="112" t="s">
        <v>435</v>
      </c>
      <c r="F134" s="112"/>
      <c r="G134" s="112"/>
      <c r="H134" s="112" t="s">
        <v>225</v>
      </c>
      <c r="I134" s="114">
        <v>100</v>
      </c>
      <c r="J134" s="112" t="s">
        <v>226</v>
      </c>
      <c r="K134" s="114">
        <v>50</v>
      </c>
      <c r="L134" s="112"/>
      <c r="M134" s="114">
        <v>50</v>
      </c>
      <c r="N134" s="112"/>
      <c r="O134" s="112" t="s">
        <v>118</v>
      </c>
      <c r="P134" s="112" t="str">
        <f t="shared" si="6"/>
        <v>N5|Por cerrar</v>
      </c>
      <c r="Q134" s="112" t="s">
        <v>164</v>
      </c>
      <c r="R134" s="112" t="str">
        <f>TRIM(tbl_BasePowerBI[[#This Row],[NOMBRE EJECUTIVO]])</f>
        <v>Luz Karime Hernandez</v>
      </c>
      <c r="S134" s="112" t="s">
        <v>195</v>
      </c>
      <c r="T134" s="129">
        <v>46220</v>
      </c>
      <c r="U134" s="129">
        <v>46220</v>
      </c>
      <c r="V134" s="157" t="s">
        <v>436</v>
      </c>
      <c r="W134" s="135">
        <v>48000000</v>
      </c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</row>
    <row r="135" spans="1:39" ht="30" customHeight="1">
      <c r="A135" s="112" t="s">
        <v>3</v>
      </c>
      <c r="B135" s="112" t="s">
        <v>126</v>
      </c>
      <c r="C135" s="112" t="s">
        <v>437</v>
      </c>
      <c r="D135" s="156">
        <v>42000000</v>
      </c>
      <c r="E135" s="112" t="s">
        <v>438</v>
      </c>
      <c r="F135" s="112"/>
      <c r="G135" s="112"/>
      <c r="H135" s="160" t="s">
        <v>225</v>
      </c>
      <c r="I135" s="114">
        <v>100</v>
      </c>
      <c r="J135" s="160" t="s">
        <v>226</v>
      </c>
      <c r="K135" s="114">
        <v>100</v>
      </c>
      <c r="L135" s="112" t="s">
        <v>439</v>
      </c>
      <c r="M135" s="114">
        <v>50</v>
      </c>
      <c r="N135" s="112"/>
      <c r="O135" s="112" t="s">
        <v>109</v>
      </c>
      <c r="P135" s="112" t="str">
        <f>A135&amp;"|"&amp;O135</f>
        <v>N4|En seguimiento</v>
      </c>
      <c r="Q135" s="112" t="s">
        <v>164</v>
      </c>
      <c r="R135" s="112" t="str">
        <f>TRIM(tbl_BasePowerBI[[#This Row],[NOMBRE EJECUTIVO]])</f>
        <v>Karen Perez</v>
      </c>
      <c r="S135" s="112" t="s">
        <v>195</v>
      </c>
      <c r="T135" s="115">
        <v>46226</v>
      </c>
      <c r="U135" s="115">
        <v>46227</v>
      </c>
      <c r="V135" s="159" t="s">
        <v>440</v>
      </c>
      <c r="W135" s="135">
        <v>40000000</v>
      </c>
      <c r="X135" s="96"/>
      <c r="Y135" s="96"/>
      <c r="Z135" s="96"/>
      <c r="AA135" s="96"/>
      <c r="AB135" s="96"/>
      <c r="AC135" s="96"/>
      <c r="AD135" s="96"/>
      <c r="AE135" s="96"/>
      <c r="AF135" s="96"/>
      <c r="AG135" s="96"/>
    </row>
    <row r="136" spans="1:39" ht="30" customHeight="1">
      <c r="A136" s="112" t="s">
        <v>3</v>
      </c>
      <c r="B136" s="112" t="s">
        <v>362</v>
      </c>
      <c r="C136" s="112" t="s">
        <v>441</v>
      </c>
      <c r="D136" s="149">
        <v>28800000</v>
      </c>
      <c r="E136" s="160" t="s">
        <v>442</v>
      </c>
      <c r="F136" s="112"/>
      <c r="G136" s="112"/>
      <c r="H136" s="160" t="s">
        <v>225</v>
      </c>
      <c r="I136" s="114">
        <v>100</v>
      </c>
      <c r="J136" s="160" t="s">
        <v>226</v>
      </c>
      <c r="K136" s="114">
        <v>50</v>
      </c>
      <c r="L136" s="112"/>
      <c r="M136" s="114">
        <v>50</v>
      </c>
      <c r="N136" s="112"/>
      <c r="O136" s="112" t="s">
        <v>109</v>
      </c>
      <c r="P136" s="112" t="str">
        <f>A136&amp;"|"&amp;O136</f>
        <v>N4|En seguimiento</v>
      </c>
      <c r="Q136" s="112" t="s">
        <v>164</v>
      </c>
      <c r="R136" s="112" t="str">
        <f>TRIM(tbl_BasePowerBI[[#This Row],[NOMBRE EJECUTIVO]])</f>
        <v>Mauricio Agudelo</v>
      </c>
      <c r="S136" s="112" t="s">
        <v>195</v>
      </c>
      <c r="T136" s="115">
        <v>46226</v>
      </c>
      <c r="U136" s="115">
        <v>46226</v>
      </c>
      <c r="V136" s="112"/>
      <c r="W136" s="135">
        <v>28800000</v>
      </c>
      <c r="X136" s="96"/>
      <c r="Y136" s="96"/>
      <c r="Z136" s="96"/>
      <c r="AA136" s="96"/>
      <c r="AB136" s="96"/>
      <c r="AC136" s="96"/>
      <c r="AD136" s="96"/>
      <c r="AE136" s="96"/>
      <c r="AF136" s="96"/>
      <c r="AG136" s="96"/>
    </row>
    <row r="137" spans="1:39" ht="30" customHeight="1">
      <c r="A137" s="112" t="s">
        <v>3</v>
      </c>
      <c r="B137" s="112" t="s">
        <v>362</v>
      </c>
      <c r="C137" s="112" t="s">
        <v>443</v>
      </c>
      <c r="D137" s="149">
        <v>40000000</v>
      </c>
      <c r="E137" s="160" t="s">
        <v>444</v>
      </c>
      <c r="F137" s="112"/>
      <c r="G137" s="112"/>
      <c r="H137" s="160" t="s">
        <v>225</v>
      </c>
      <c r="I137" s="114">
        <v>100</v>
      </c>
      <c r="J137" s="160" t="s">
        <v>226</v>
      </c>
      <c r="K137" s="114">
        <v>51</v>
      </c>
      <c r="L137" s="112"/>
      <c r="M137" s="114">
        <v>50</v>
      </c>
      <c r="N137" s="112"/>
      <c r="O137" s="112" t="s">
        <v>109</v>
      </c>
      <c r="P137" s="112" t="str">
        <f>A137&amp;"|"&amp;O137</f>
        <v>N4|En seguimiento</v>
      </c>
      <c r="Q137" s="112" t="s">
        <v>164</v>
      </c>
      <c r="R137" s="112" t="str">
        <f>TRIM(tbl_BasePowerBI[[#This Row],[NOMBRE EJECUTIVO]])</f>
        <v>Mauricio Agudelo</v>
      </c>
      <c r="S137" s="112" t="s">
        <v>195</v>
      </c>
      <c r="T137" s="115">
        <v>46226</v>
      </c>
      <c r="U137" s="115">
        <v>46226</v>
      </c>
      <c r="V137" s="161" t="s">
        <v>445</v>
      </c>
      <c r="W137" s="135">
        <v>43000000</v>
      </c>
      <c r="X137" s="96"/>
      <c r="Y137" s="96"/>
      <c r="Z137" s="96"/>
      <c r="AA137" s="96"/>
      <c r="AB137" s="96"/>
      <c r="AC137" s="96"/>
      <c r="AD137" s="96"/>
      <c r="AE137" s="96"/>
      <c r="AF137" s="96"/>
      <c r="AG137" s="96"/>
    </row>
    <row r="138" spans="1:39" ht="30" customHeight="1">
      <c r="A138" s="112" t="s">
        <v>3</v>
      </c>
      <c r="B138" s="112" t="s">
        <v>126</v>
      </c>
      <c r="C138" s="112" t="s">
        <v>446</v>
      </c>
      <c r="D138" s="149">
        <v>23568560</v>
      </c>
      <c r="E138" s="160" t="s">
        <v>447</v>
      </c>
      <c r="F138" s="112"/>
      <c r="G138" s="112"/>
      <c r="H138" s="111" t="s">
        <v>225</v>
      </c>
      <c r="I138" s="114">
        <v>100</v>
      </c>
      <c r="J138" s="111" t="s">
        <v>226</v>
      </c>
      <c r="K138" s="114">
        <v>50</v>
      </c>
      <c r="L138" s="112"/>
      <c r="M138" s="114">
        <v>50</v>
      </c>
      <c r="N138" s="112"/>
      <c r="O138" s="112" t="s">
        <v>109</v>
      </c>
      <c r="P138" s="112" t="str">
        <f>A138&amp;"|"&amp;O138</f>
        <v>N4|En seguimiento</v>
      </c>
      <c r="Q138" s="112" t="s">
        <v>164</v>
      </c>
      <c r="R138" s="112" t="str">
        <f>TRIM(tbl_BasePowerBI[[#This Row],[NOMBRE EJECUTIVO]])</f>
        <v>Karen Perez</v>
      </c>
      <c r="S138" s="112" t="s">
        <v>195</v>
      </c>
      <c r="T138" s="115">
        <v>46231</v>
      </c>
      <c r="U138" s="115">
        <v>46233</v>
      </c>
      <c r="V138" s="159" t="s">
        <v>448</v>
      </c>
      <c r="W138" s="135">
        <v>23568560</v>
      </c>
      <c r="X138" s="96"/>
      <c r="Y138" s="96"/>
      <c r="Z138" s="96"/>
      <c r="AA138" s="96"/>
      <c r="AB138" s="96"/>
      <c r="AC138" s="96"/>
      <c r="AD138" s="96"/>
      <c r="AE138" s="96"/>
      <c r="AF138" s="96"/>
      <c r="AG138" s="96"/>
    </row>
    <row r="139" spans="1:39" ht="30" customHeight="1">
      <c r="A139" s="112" t="s">
        <v>2</v>
      </c>
      <c r="B139" s="112" t="s">
        <v>123</v>
      </c>
      <c r="C139" s="112" t="s">
        <v>449</v>
      </c>
      <c r="D139" s="149">
        <v>18200000</v>
      </c>
      <c r="E139" s="111" t="s">
        <v>450</v>
      </c>
      <c r="F139" s="112"/>
      <c r="G139" s="112"/>
      <c r="H139" s="111" t="s">
        <v>225</v>
      </c>
      <c r="I139" s="114">
        <v>100</v>
      </c>
      <c r="J139" s="111" t="s">
        <v>226</v>
      </c>
      <c r="K139" s="114">
        <v>100</v>
      </c>
      <c r="L139" s="112" t="s">
        <v>451</v>
      </c>
      <c r="M139" s="114">
        <v>100</v>
      </c>
      <c r="N139" s="112"/>
      <c r="O139" s="112" t="s">
        <v>109</v>
      </c>
      <c r="P139" s="112" t="str">
        <f>A139&amp;"|"&amp;O139</f>
        <v>N3|En seguimiento</v>
      </c>
      <c r="Q139" s="112" t="s">
        <v>164</v>
      </c>
      <c r="R139" s="112" t="str">
        <f>TRIM(tbl_BasePowerBI[[#This Row],[NOMBRE EJECUTIVO]])</f>
        <v>Laura Melo</v>
      </c>
      <c r="S139" s="112" t="s">
        <v>195</v>
      </c>
      <c r="T139" s="115">
        <v>46230</v>
      </c>
      <c r="U139" s="115">
        <v>46231</v>
      </c>
      <c r="V139" s="112"/>
      <c r="W139" s="135">
        <v>18200000</v>
      </c>
      <c r="X139" s="96"/>
      <c r="Y139" s="96"/>
      <c r="Z139" s="96"/>
      <c r="AA139" s="96"/>
      <c r="AB139" s="96"/>
      <c r="AC139" s="96"/>
      <c r="AD139" s="96"/>
      <c r="AE139" s="96"/>
      <c r="AF139" s="96"/>
      <c r="AG139" s="96"/>
    </row>
    <row r="140" spans="1:39" ht="30" customHeight="1">
      <c r="A140" s="112" t="s">
        <v>2</v>
      </c>
      <c r="B140" s="102" t="s">
        <v>327</v>
      </c>
      <c r="C140" s="162" t="s">
        <v>452</v>
      </c>
      <c r="D140" s="173">
        <v>42950000</v>
      </c>
      <c r="E140" s="163" t="s">
        <v>453</v>
      </c>
      <c r="F140" s="112"/>
      <c r="G140" s="112"/>
      <c r="H140" s="111" t="s">
        <v>225</v>
      </c>
      <c r="I140" s="114">
        <v>100</v>
      </c>
      <c r="J140" s="111" t="s">
        <v>226</v>
      </c>
      <c r="K140" s="114">
        <v>100</v>
      </c>
      <c r="L140" s="112"/>
      <c r="M140" s="114">
        <v>50</v>
      </c>
      <c r="N140" s="112"/>
      <c r="O140" s="112" t="s">
        <v>109</v>
      </c>
      <c r="P140" s="112" t="str">
        <f>A140&amp;"|"&amp;O140</f>
        <v>N3|En seguimiento</v>
      </c>
      <c r="Q140" s="112" t="s">
        <v>164</v>
      </c>
      <c r="R140" s="112" t="s">
        <v>454</v>
      </c>
      <c r="S140" s="112" t="s">
        <v>195</v>
      </c>
      <c r="T140" s="115">
        <v>46215</v>
      </c>
      <c r="U140" s="115">
        <v>46216</v>
      </c>
      <c r="V140" s="162"/>
      <c r="W140" s="174">
        <v>42950000</v>
      </c>
      <c r="X140" s="96"/>
      <c r="Y140" s="96"/>
      <c r="Z140" s="96"/>
      <c r="AA140" s="96"/>
      <c r="AB140" s="96"/>
      <c r="AC140" s="96"/>
      <c r="AD140" s="96"/>
      <c r="AE140" s="96"/>
      <c r="AF140" s="96"/>
      <c r="AG140" s="96"/>
    </row>
    <row r="141" spans="1:39" ht="30" customHeight="1">
      <c r="A141" s="112" t="s">
        <v>0</v>
      </c>
      <c r="B141" s="102" t="s">
        <v>112</v>
      </c>
      <c r="C141" s="112" t="s">
        <v>455</v>
      </c>
      <c r="D141" s="164">
        <v>20000000</v>
      </c>
      <c r="E141" s="111" t="s">
        <v>456</v>
      </c>
      <c r="F141" s="112"/>
      <c r="G141" s="112"/>
      <c r="H141" s="111" t="s">
        <v>225</v>
      </c>
      <c r="I141" s="114">
        <v>100</v>
      </c>
      <c r="J141" s="111" t="s">
        <v>226</v>
      </c>
      <c r="K141" s="114">
        <v>50</v>
      </c>
      <c r="L141" s="112"/>
      <c r="M141" s="114">
        <v>50</v>
      </c>
      <c r="N141" s="112"/>
      <c r="O141" s="112" t="s">
        <v>109</v>
      </c>
      <c r="P141" s="112" t="str">
        <f>A141&amp;"|"&amp;O141</f>
        <v>N1|En seguimiento</v>
      </c>
      <c r="Q141" s="112" t="s">
        <v>164</v>
      </c>
      <c r="R141" s="112" t="str">
        <f>TRIM(tbl_BasePowerBI[[#This Row],[NOMBRE EJECUTIVO]])</f>
        <v>Andrea Morales</v>
      </c>
      <c r="S141" s="112" t="s">
        <v>195</v>
      </c>
      <c r="T141" s="115">
        <v>46238</v>
      </c>
      <c r="U141" s="115">
        <v>46238</v>
      </c>
      <c r="V141" s="112"/>
      <c r="W141" s="165">
        <v>20000000</v>
      </c>
      <c r="X141" s="96"/>
      <c r="Y141" s="96"/>
      <c r="Z141" s="96"/>
      <c r="AA141" s="96"/>
      <c r="AB141" s="96"/>
      <c r="AC141" s="96"/>
      <c r="AD141" s="96"/>
      <c r="AE141" s="96"/>
      <c r="AF141" s="96"/>
      <c r="AG141" s="96"/>
    </row>
    <row r="142" spans="1:39" ht="30" customHeight="1">
      <c r="A142" s="112" t="s">
        <v>4</v>
      </c>
      <c r="B142" s="112" t="s">
        <v>394</v>
      </c>
      <c r="C142" s="112" t="s">
        <v>457</v>
      </c>
      <c r="D142" s="149">
        <v>0</v>
      </c>
      <c r="E142" s="111" t="s">
        <v>458</v>
      </c>
      <c r="F142" s="112"/>
      <c r="G142" s="112"/>
      <c r="H142" s="111" t="s">
        <v>225</v>
      </c>
      <c r="I142" s="114">
        <v>100</v>
      </c>
      <c r="J142" s="111" t="s">
        <v>226</v>
      </c>
      <c r="K142" s="114">
        <v>50</v>
      </c>
      <c r="L142" s="112"/>
      <c r="M142" s="114">
        <v>50</v>
      </c>
      <c r="N142" s="112"/>
      <c r="O142" s="112" t="s">
        <v>109</v>
      </c>
      <c r="P142" s="112" t="str">
        <f>A142&amp;"|"&amp;O142</f>
        <v>N5|En seguimiento</v>
      </c>
      <c r="Q142" s="112" t="s">
        <v>164</v>
      </c>
      <c r="R142" s="112" t="str">
        <f>TRIM(tbl_BasePowerBI[[#This Row],[NOMBRE EJECUTIVO]])</f>
        <v>Ana Maria Castañeda</v>
      </c>
      <c r="S142" s="112" t="s">
        <v>195</v>
      </c>
      <c r="T142" s="115">
        <v>46252</v>
      </c>
      <c r="U142" s="115">
        <v>46252</v>
      </c>
      <c r="V142" s="112"/>
      <c r="W142" s="135"/>
      <c r="X142" s="96"/>
      <c r="Y142" s="96"/>
      <c r="Z142" s="96"/>
      <c r="AA142" s="96"/>
      <c r="AB142" s="96"/>
      <c r="AC142" s="96"/>
      <c r="AD142" s="96"/>
      <c r="AE142" s="96"/>
      <c r="AF142" s="96"/>
      <c r="AG142" s="96"/>
    </row>
    <row r="143" spans="1:39" ht="30" customHeight="1">
      <c r="A143" s="112" t="s">
        <v>4</v>
      </c>
      <c r="B143" s="112" t="s">
        <v>129</v>
      </c>
      <c r="C143" s="112" t="s">
        <v>459</v>
      </c>
      <c r="D143" s="149">
        <v>0</v>
      </c>
      <c r="E143" s="111" t="s">
        <v>458</v>
      </c>
      <c r="F143" s="112"/>
      <c r="G143" s="112"/>
      <c r="H143" s="111" t="s">
        <v>225</v>
      </c>
      <c r="I143" s="114">
        <v>100</v>
      </c>
      <c r="J143" s="111" t="s">
        <v>226</v>
      </c>
      <c r="K143" s="114">
        <v>50</v>
      </c>
      <c r="L143" s="112"/>
      <c r="M143" s="114">
        <v>50</v>
      </c>
      <c r="N143" s="112"/>
      <c r="O143" s="112" t="s">
        <v>109</v>
      </c>
      <c r="P143" s="112" t="str">
        <f>A143&amp;"|"&amp;O143</f>
        <v>N5|En seguimiento</v>
      </c>
      <c r="Q143" s="112" t="s">
        <v>164</v>
      </c>
      <c r="R143" s="112" t="str">
        <f>TRIM(tbl_BasePowerBI[[#This Row],[NOMBRE EJECUTIVO]])</f>
        <v>Luz Karime Hernandez</v>
      </c>
      <c r="S143" s="112" t="s">
        <v>195</v>
      </c>
      <c r="T143" s="115">
        <v>46252</v>
      </c>
      <c r="U143" s="115">
        <v>46252</v>
      </c>
      <c r="V143" s="112"/>
      <c r="W143" s="130"/>
      <c r="X143" s="96"/>
      <c r="Y143" s="96"/>
      <c r="Z143" s="96"/>
      <c r="AA143" s="96"/>
      <c r="AB143" s="96"/>
      <c r="AC143" s="96"/>
      <c r="AD143" s="96"/>
      <c r="AE143" s="96"/>
      <c r="AF143" s="96"/>
      <c r="AG143" s="96"/>
      <c r="AM143" s="138"/>
    </row>
    <row r="144" spans="1:39" ht="30" customHeight="1">
      <c r="A144" s="98" t="s">
        <v>4</v>
      </c>
      <c r="B144" s="98" t="s">
        <v>129</v>
      </c>
      <c r="C144" s="131" t="s">
        <v>460</v>
      </c>
      <c r="D144" s="166">
        <v>35442850</v>
      </c>
      <c r="E144" s="132" t="s">
        <v>456</v>
      </c>
      <c r="F144" s="98"/>
      <c r="G144" s="98"/>
      <c r="H144" s="102" t="s">
        <v>225</v>
      </c>
      <c r="I144" s="99">
        <v>100</v>
      </c>
      <c r="J144" s="102" t="s">
        <v>226</v>
      </c>
      <c r="K144" s="99">
        <v>50</v>
      </c>
      <c r="L144" s="98"/>
      <c r="M144" s="99">
        <v>50</v>
      </c>
      <c r="N144" s="98"/>
      <c r="O144" s="98" t="s">
        <v>109</v>
      </c>
      <c r="P144" s="98" t="str">
        <f>A144&amp;"|"&amp;O144</f>
        <v>N5|En seguimiento</v>
      </c>
      <c r="Q144" s="98" t="s">
        <v>164</v>
      </c>
      <c r="R144" s="133" t="s">
        <v>129</v>
      </c>
      <c r="S144" s="98" t="s">
        <v>195</v>
      </c>
      <c r="T144" s="107">
        <v>46253</v>
      </c>
      <c r="U144" s="107">
        <v>46254</v>
      </c>
      <c r="V144" s="98"/>
      <c r="W144" s="134">
        <v>35442850</v>
      </c>
      <c r="X144" s="96"/>
      <c r="Y144" s="96"/>
      <c r="Z144" s="96"/>
      <c r="AA144" s="96"/>
      <c r="AB144" s="96"/>
      <c r="AC144" s="96"/>
      <c r="AD144" s="96"/>
      <c r="AE144" s="96"/>
      <c r="AF144" s="96"/>
      <c r="AG144" s="96"/>
      <c r="AM144" s="138"/>
    </row>
    <row r="145" spans="1:39" ht="30" customHeight="1">
      <c r="A145" s="98" t="s">
        <v>1</v>
      </c>
      <c r="B145" s="112" t="s">
        <v>117</v>
      </c>
      <c r="C145" s="131" t="s">
        <v>461</v>
      </c>
      <c r="D145" s="149">
        <v>0</v>
      </c>
      <c r="E145" s="132" t="s">
        <v>456</v>
      </c>
      <c r="F145" s="98"/>
      <c r="G145" s="98"/>
      <c r="H145" s="102" t="s">
        <v>225</v>
      </c>
      <c r="I145" s="99">
        <v>100</v>
      </c>
      <c r="J145" s="102" t="s">
        <v>226</v>
      </c>
      <c r="K145" s="99">
        <v>50</v>
      </c>
      <c r="L145" s="98"/>
      <c r="M145" s="99">
        <v>50</v>
      </c>
      <c r="N145" s="98"/>
      <c r="O145" s="98" t="s">
        <v>109</v>
      </c>
      <c r="P145" s="98" t="str">
        <f>A145&amp;"|"&amp;O145</f>
        <v>N2|En seguimiento</v>
      </c>
      <c r="Q145" s="98" t="s">
        <v>164</v>
      </c>
      <c r="R145" s="133" t="s">
        <v>117</v>
      </c>
      <c r="S145" s="98" t="s">
        <v>195</v>
      </c>
      <c r="T145" s="107">
        <v>46253</v>
      </c>
      <c r="U145" s="107">
        <v>46253</v>
      </c>
      <c r="V145" s="98"/>
      <c r="W145" s="135"/>
      <c r="X145" s="96"/>
      <c r="Y145" s="96"/>
      <c r="Z145" s="96"/>
      <c r="AA145" s="96"/>
      <c r="AB145" s="96"/>
      <c r="AC145" s="96"/>
      <c r="AD145" s="96"/>
      <c r="AE145" s="96"/>
      <c r="AF145" s="96"/>
      <c r="AG145" s="96"/>
      <c r="AM145" s="138"/>
    </row>
    <row r="146" spans="1:39" ht="30" customHeight="1">
      <c r="A146" s="131" t="s">
        <v>3</v>
      </c>
      <c r="B146" s="175" t="s">
        <v>127</v>
      </c>
      <c r="C146" s="176" t="s">
        <v>462</v>
      </c>
      <c r="D146" s="173">
        <v>31500000</v>
      </c>
      <c r="E146" s="132" t="s">
        <v>463</v>
      </c>
      <c r="F146" s="98"/>
      <c r="G146" s="98"/>
      <c r="H146" s="102" t="s">
        <v>225</v>
      </c>
      <c r="I146" s="99">
        <v>100</v>
      </c>
      <c r="J146" s="102" t="s">
        <v>226</v>
      </c>
      <c r="K146" s="99">
        <v>50</v>
      </c>
      <c r="L146" s="98"/>
      <c r="M146" s="99">
        <v>50</v>
      </c>
      <c r="N146" s="98"/>
      <c r="O146" s="98" t="s">
        <v>109</v>
      </c>
      <c r="P146" s="98" t="str">
        <f>A146&amp;"|"&amp;O146</f>
        <v>N4|En seguimiento</v>
      </c>
      <c r="Q146" s="98" t="s">
        <v>164</v>
      </c>
      <c r="R146" s="98" t="s">
        <v>464</v>
      </c>
      <c r="S146" s="98" t="s">
        <v>195</v>
      </c>
      <c r="T146" s="107">
        <v>46247</v>
      </c>
      <c r="U146" s="107">
        <v>46254</v>
      </c>
      <c r="V146" s="131"/>
      <c r="W146" s="174">
        <v>31500000</v>
      </c>
      <c r="X146" s="96"/>
      <c r="Y146" s="96"/>
      <c r="Z146" s="96"/>
      <c r="AA146" s="96"/>
      <c r="AB146" s="96"/>
      <c r="AC146" s="96"/>
      <c r="AD146" s="96"/>
      <c r="AE146" s="96"/>
      <c r="AF146" s="96"/>
      <c r="AG146" s="96"/>
      <c r="AM146" s="138"/>
    </row>
  </sheetData>
  <protectedRanges>
    <protectedRange sqref="O1:O1048576" name="Rango1"/>
    <protectedRange sqref="Q1:Q1048576" name="Rango2"/>
  </protectedRanges>
  <conditionalFormatting sqref="B135:G135 W135 I135 K135:U135 B56:I56 K56:U56 B55:U55 W55:W56 B57:W134 B33:W54 O32 Q32 B31:C31 E31:G31 I31 K31:R31 T31:V31 O136:O146 Q136:Q146 B2:W30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0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count="4">
    <dataValidation allowBlank="1" showInputMessage="1" showErrorMessage="1" sqref="H116:H117 L2:L7 V4:V7 J2:J8 J42:J43 I45:I53 I38:I43 I55:I74 J45:J52 J10:J12 V10:V12 V49:W49 V51:V53 L119:L125 H130:H131 J129:J131 V131 L85:L116 I79:I117 V85:V115 H134 J134 J55 J14:J24 V14:V24 J147:J1048576 W33:W48 V136:V137 I32 J26:J30 J57:J119 V26:V35 W2:W30 J33:J35 S31:S32 H147:H1048576 V139:V1048576 I130:I1048576 L127:L1048576 S135:S1048576 W147:W1048576 R141:R145 R147:R1048576 M26:M1048576 K26:K1048576 R2:R139 P2:P146 V57:V83 W50:W137 L45:L83 L10:L43 T2:U1048576" xr:uid="{00000000-0002-0000-0100-000002000000}"/>
    <dataValidation type="whole" operator="greaterThanOrEqual" allowBlank="1" showInputMessage="1" showErrorMessage="1" errorTitle="Tipo de dato númerico" error="Por favor ingresa un número entero en la escala del 1 al 100 para medir el avance." prompt="Por favor ingresa un número entero en la escala del 1 al 100 para medir el avance." sqref="I44 I75:I78 I118:I129 M2:M25 K2:K25 I2:I31 I33:I37" xr:uid="{D26162DA-963D-4A40-A5E1-6A390A70D0AC}">
      <formula1>0</formula1>
    </dataValidation>
    <dataValidation type="list" allowBlank="1" showInputMessage="1" showErrorMessage="1" sqref="Q33:Q130 Q2:Q31" xr:uid="{6CB68DF8-410D-4B90-9867-41A79C217839}">
      <formula1>$AF$2:$AF$4</formula1>
    </dataValidation>
    <dataValidation type="list" allowBlank="1" showInputMessage="1" showErrorMessage="1" sqref="A47:A51 A2:A31 A33:A45" xr:uid="{2B2C5A05-1274-42DB-9DF1-0ECA833E3AA1}">
      <formula1>$AB$2:$AB$8</formula1>
    </dataValidation>
  </dataValidations>
  <hyperlinks>
    <hyperlink ref="V43" r:id="rId1" xr:uid="{86A47D56-FBA7-4A34-B19D-3D142B8D7078}"/>
    <hyperlink ref="V44" r:id="rId2" xr:uid="{FCBC40CA-3448-4077-A59B-9E6EDB42A026}"/>
    <hyperlink ref="V48" r:id="rId3" xr:uid="{92131E02-3168-4631-9470-DB82333C0E45}"/>
    <hyperlink ref="V49" r:id="rId4" xr:uid="{D82A600B-6C4E-4216-9C97-3123B4686D54}"/>
    <hyperlink ref="V53" r:id="rId5" xr:uid="{05B2D6B5-CB44-4B86-BD55-11B743DB62BE}"/>
    <hyperlink ref="V59" r:id="rId6" xr:uid="{25E0D051-F7B7-48AC-AA6B-3C70E909690F}"/>
    <hyperlink ref="V38" r:id="rId7" xr:uid="{402091AD-588C-43B3-A7D1-C8DF55CF56F3}"/>
    <hyperlink ref="V131" r:id="rId8" xr:uid="{270C3102-89E2-4557-9902-332B90EDC7FD}"/>
    <hyperlink ref="V132" r:id="rId9" xr:uid="{ABB7595A-46C5-466D-8E7D-C662008CBD67}"/>
    <hyperlink ref="V39" r:id="rId10" xr:uid="{53F37A75-CBBA-4D1C-818E-892FD34DA7BA}"/>
    <hyperlink ref="V40" r:id="rId11" xr:uid="{00ED524B-B476-4C02-906F-1D8CDECBD54C}"/>
    <hyperlink ref="V41" r:id="rId12" xr:uid="{FDC5E7EA-8FFB-4D7A-801D-B42470E2C31F}"/>
    <hyperlink ref="V42" r:id="rId13" xr:uid="{1C7B18F5-302E-4576-A513-8D4813465B8C}"/>
    <hyperlink ref="V109" r:id="rId14" xr:uid="{7DA329B0-35F9-45B5-B1B9-3ACB872E4676}"/>
    <hyperlink ref="V69" r:id="rId15" xr:uid="{32794F52-E920-41C4-86F4-A9A6EC956206}"/>
    <hyperlink ref="V15" r:id="rId16" xr:uid="{3AAA7E3C-42C3-440E-82E7-CDA0F4AA6E30}"/>
    <hyperlink ref="V37" r:id="rId17" xr:uid="{B8621F76-14C2-4CEA-9750-4D250950A338}"/>
    <hyperlink ref="V68" r:id="rId18" xr:uid="{12290147-601F-4180-92D8-16B0050CE08E}"/>
    <hyperlink ref="V61" r:id="rId19" xr:uid="{1312F5E3-D2D4-401B-ABCF-336A2D3C3118}"/>
    <hyperlink ref="V84" r:id="rId20" xr:uid="{C472D699-FCA9-42B7-BA6F-AE984F900700}"/>
    <hyperlink ref="V113" r:id="rId21" xr:uid="{3CDD10DC-D09D-48DE-BD03-A50972F5D656}"/>
    <hyperlink ref="V71" r:id="rId22" xr:uid="{C5483DD8-44B5-41EE-88FB-9B6FB2AA393B}"/>
    <hyperlink ref="V124" r:id="rId23" xr:uid="{B284FDFA-74BC-49F6-9924-8F19BEDA0368}"/>
    <hyperlink ref="V126" r:id="rId24" xr:uid="{CE2B7FC1-11D0-4812-8510-EC163D51380F}"/>
    <hyperlink ref="V2" r:id="rId25" xr:uid="{550F807D-42B4-4335-A4DA-36063605522F}"/>
    <hyperlink ref="V3" r:id="rId26" xr:uid="{D114B72D-DA10-4B60-888C-27295EAD1E38}"/>
    <hyperlink ref="V7" r:id="rId27" xr:uid="{AFE12EB4-680B-4E0A-BA22-DCDD1472CACC}"/>
    <hyperlink ref="V5" r:id="rId28" xr:uid="{6F36383F-84FE-45AA-9AD7-8FF22BC30D3B}"/>
    <hyperlink ref="V4" r:id="rId29" xr:uid="{7AC38C79-B4FE-4F88-A9ED-AAE3287DDEE4}"/>
    <hyperlink ref="V6" r:id="rId30" xr:uid="{2855A7A2-5111-4C00-A090-881105454419}"/>
    <hyperlink ref="V8" r:id="rId31" xr:uid="{85670A3C-3F49-423C-975E-1A5E7CA98668}"/>
    <hyperlink ref="V9" r:id="rId32" xr:uid="{BD7791EF-9713-4860-AD01-7B339774D260}"/>
    <hyperlink ref="V10" r:id="rId33" xr:uid="{CCE43A0F-0F7E-4C4F-BC70-5C63CE276569}"/>
    <hyperlink ref="V12" r:id="rId34" xr:uid="{20FB653A-5128-4410-989C-D28DEB10900D}"/>
    <hyperlink ref="V14" r:id="rId35" xr:uid="{94BE93B2-780B-4169-A211-DBBEBC955092}"/>
    <hyperlink ref="V110" r:id="rId36" xr:uid="{D05F45F0-4296-4EB3-A4B5-4A5AE4EF1E71}"/>
    <hyperlink ref="V70" r:id="rId37" xr:uid="{5D6A9DE6-0AFE-4C2F-B976-7F1169849B96}"/>
    <hyperlink ref="V111" r:id="rId38" xr:uid="{9B2CF935-8877-48B0-AB51-DF4990A068A0}"/>
    <hyperlink ref="V133" r:id="rId39" xr:uid="{A4EDF905-FB80-44C0-914D-6384CFA5DD4F}"/>
    <hyperlink ref="V112" r:id="rId40" xr:uid="{A3E68318-38A2-4957-8C36-95368374A1C8}"/>
    <hyperlink ref="V134" r:id="rId41" xr:uid="{F7F9DE81-FDA3-4602-9111-942B871F9346}"/>
    <hyperlink ref="V67" r:id="rId42" xr:uid="{DF5A6BA8-C3DE-4194-8E90-F89A64B1F96E}"/>
    <hyperlink ref="V19" r:id="rId43" xr:uid="{6981FD74-5421-4D02-9065-5A72BADDB53C}"/>
    <hyperlink ref="V20" r:id="rId44" xr:uid="{BEA67436-D113-4F52-8F36-3F2527D91DEF}"/>
    <hyperlink ref="V137" r:id="rId45" display="https://grupoprisa-my.sharepoint.com/:p:/g/personal/juangodoy_est_caracol_com_co/IQAQHCjHLHXeQpGijneN_H5lActlHYQNn5Jhxg8oQL12bn8                          https://grupoprisa-my.sharepoint.com/:p:/g/personal/juangodoy_est_caracol_com_co/IQCZl1yA5ZmPS7yCUZS3T5--AeQJKQE2dQZJJX-atpvHzDg" xr:uid="{AA539DBC-5DEF-4CF2-B31A-6500B1975BC2}"/>
    <hyperlink ref="V135" r:id="rId46" xr:uid="{F39E5C34-81BE-4F53-B27D-EA73ECF9BBE7}"/>
    <hyperlink ref="V55" r:id="rId47" xr:uid="{B0B4E8D7-7067-45F2-B824-0CC3DBC1DCAC}"/>
    <hyperlink ref="V56" r:id="rId48" xr:uid="{FC1A2721-C7AA-4909-97CB-29D21E966E6C}"/>
    <hyperlink ref="V138" r:id="rId49" xr:uid="{1B7E3CA2-3564-4499-90D3-64694BA1ADED}"/>
  </hyperlinks>
  <pageMargins left="0.25" right="0.25" top="0.75" bottom="0.75" header="0.3" footer="0.3"/>
  <pageSetup paperSize="8" fitToHeight="0" orientation="portrait"/>
  <tableParts count="1">
    <tablePart r:id="rId5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criptIds xmlns="http://schemas.microsoft.com/office/extensibility/maker/v1.0" id="script-ids-node-id">
  <scriptId id="ms-officescript%3A%2F%2Fonedrive_business_itemlink%2F01UWKFYRWKIC6FJ6VJ65CYNAHYJ3XGYGEN:ms-officescript%3A%2F%2Fonedrive_business_sharinglink%2Fu!aHR0cHM6Ly9ncnVwb3ByaXNhLW15LnNoYXJlcG9pbnQuY29tLzp1Oi9nL3BlcnNvbmFsL2dlcnNvbnZhcmdhc19lc3RfY2FyYWNvbF9jb21fY28vSVFES1FMeFUtcW4zUllhQS1FN3ViQmlOQVJ3XzNJYjhuOHM5Z0ZoakNBNEZBOU0"/>
  <scriptId xmlns="" id="ms-officescript%3A%2F%2Fonedrive_business_itemlink%2F01UWKFYRUSDD2WCVQPPJGISLMKFU5Z53DC:ms-officescript%3A%2F%2Fonedrive_business_sharinglink%2Fu!aHR0cHM6Ly9ncnVwb3ByaXNhLW15LnNoYXJlcG9pbnQuY29tLzp1Oi9nL3BlcnNvbmFsL2dlcnNvbnZhcmdhc19lc3RfY2FyYWNvbF9jb21fY28vSVFDU0dQVmhWZzk2VElrdGlpMDdudXhpQVNvNFRQM2lHMDhkOUN5QnUtR3Noc1U"/>
  <scriptId xmlns="" id="ms-officescript%3A%2F%2Fonedrive_business_itemlink%2F01UWKFYRRJE43E4ZBLTVDLWYA6VCE3EFPS:ms-officescript%3A%2F%2Fonedrive_business_sharinglink%2Fu!aHR0cHM6Ly9ncnVwb3ByaXNhLW15LnNoYXJlcG9pbnQuY29tLzp1Oi9nL3BlcnNvbmFsL2dlcnNvbnZhcmdhc19lc3RfY2FyYWNvbF9jb21fY28vSVFBcEp6Wk9aQ3VkUnJ0Z0hxaUpzaFh5QVV0TEczM3NWeDhBN1lQTTNPVFc2SkE"/>
  <scriptId xmlns="" id="ms-officescript%3A%2F%2Fonedrive_business_itemlink%2F01UWKFYRQIGIW3KDTOHRG2PBNWKUNM7HCA:ms-officescript%3A%2F%2Fonedrive_business_sharinglink%2Fu!aHR0cHM6Ly9ncnVwb3ByaXNhLW15LnNoYXJlcG9pbnQuY29tLzp1Oi9nL3BlcnNvbmFsL2dlcnNvbnZhcmdhc19lc3RfY2FyYWNvbF9jb21fY28vSVFBSU1pMjFEbTQ4VGFlRnRsVWF6NXhBQWJ1aFlrdEh2Vnh4U29ZcGZwTTlaNUk"/>
  <scriptId xmlns="" id="ms-officescript%3A%2F%2Fonedrive_business_itemlink%2F01UWKFYRVO2YCSB4PGJZA2NZRPPU7XBYZH:ms-officescript%3A%2F%2Fonedrive_business_sharinglink%2Fu!aHR0cHM6Ly9ncnVwb3ByaXNhLW15LnNoYXJlcG9pbnQuY29tLzp1Oi9nL3BlcnNvbmFsL2dlcnNvbnZhcmdhc19lc3RfY2FyYWNvbF9jb21fY28vSVFDdTFnVWc4ZVpPUWFibUwzMF9jT01uQVhaRW55eXdqQ1lWSXRtSV84VjljdXM"/>
  <scriptId xmlns="" id="ms-officescript%3A%2F%2Fonedrive_business_itemlink%2F01UWKFYRQOP2Z5ZO6GF5FJ6EK433JJK7E7:ms-officescript%3A%2F%2Fonedrive_business_sharinglink%2Fu!aHR0cHM6Ly9ncnVwb3ByaXNhLW15LnNoYXJlcG9pbnQuY29tLzp1Oi9nL3BlcnNvbmFsL2dlcnNvbnZhcmdhc19lc3RfY2FyYWNvbF9jb21fY28vSVFBT2ZyUGN1OFl2U3A4UlhON1NsWHlmQVRVeFROMFR2X0xaRU1DcjN1Z05TM3c"/>
</scriptIds>
</file>

<file path=customXml/item2.xml>��
</file>

<file path=customXml/itemProps1.xml><?xml version="1.0" encoding="utf-8"?>
<ds:datastoreItem xmlns:ds="http://schemas.openxmlformats.org/officeDocument/2006/customXml" ds:itemID="{B42B20CE-0731-41A3-BD13-08640447758B}"/>
</file>

<file path=customXml/itemProps2.xml><?xml version="1.0" encoding="utf-8"?>
<ds:datastoreItem xmlns:ds="http://schemas.openxmlformats.org/officeDocument/2006/customXml" ds:itemID="{B4329355-163A-4016-AC01-41E601A7CF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2026-05-29T19:31:59Z</dcterms:created>
  <dcterms:modified xsi:type="dcterms:W3CDTF">2026-08-21T05:20:46Z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cd9466-8d4e-4a56-b721-1076610ba137_Enabled">
    <vt:lpwstr>true</vt:lpwstr>
  </property>
  <property fmtid="{D5CDD505-2E9C-101B-9397-08002B2CF9AE}" pid="3" name="MSIP_Label_93cd9466-8d4e-4a56-b721-1076610ba137_SetDate">
    <vt:lpwstr>2026-05-29T17:39:31Z</vt:lpwstr>
  </property>
  <property fmtid="{D5CDD505-2E9C-101B-9397-08002B2CF9AE}" pid="4" name="MSIP_Label_93cd9466-8d4e-4a56-b721-1076610ba137_Method">
    <vt:lpwstr>Standard</vt:lpwstr>
  </property>
  <property fmtid="{D5CDD505-2E9C-101B-9397-08002B2CF9AE}" pid="5" name="MSIP_Label_93cd9466-8d4e-4a56-b721-1076610ba137_Name">
    <vt:lpwstr>General</vt:lpwstr>
  </property>
  <property fmtid="{D5CDD505-2E9C-101B-9397-08002B2CF9AE}" pid="6" name="MSIP_Label_93cd9466-8d4e-4a56-b721-1076610ba137_SiteId">
    <vt:lpwstr>c4fd49f3-e15a-44d8-82e2-c909735d2e45</vt:lpwstr>
  </property>
  <property fmtid="{D5CDD505-2E9C-101B-9397-08002B2CF9AE}" pid="7" name="MSIP_Label_93cd9466-8d4e-4a56-b721-1076610ba137_ActionId">
    <vt:lpwstr>abe4ece1-58df-430c-b584-fb3c496f19aa</vt:lpwstr>
  </property>
  <property fmtid="{D5CDD505-2E9C-101B-9397-08002B2CF9AE}" pid="8" name="MSIP_Label_93cd9466-8d4e-4a56-b721-1076610ba137_ContentBits">
    <vt:lpwstr>0</vt:lpwstr>
  </property>
  <property fmtid="{D5CDD505-2E9C-101B-9397-08002B2CF9AE}" pid="9" name="MSIP_Label_93cd9466-8d4e-4a56-b721-1076610ba137_Tag">
    <vt:lpwstr>10, 3, 0, 2</vt:lpwstr>
  </property>
</Properties>
</file>