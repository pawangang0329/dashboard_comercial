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xr:revisionPtr revIDLastSave="0" documentId="8_{050ED7E5-3FC2-465F-AB9C-DDA6FA58C405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OLICITUDES" sheetId="1" r:id="rId1"/>
    <sheet name="PROPUESTAS" sheetId="2" r:id="rId2"/>
  </sheets>
  <externalReferences>
    <externalReference r:id="rId3"/>
  </externalReferences>
  <definedNames>
    <definedName name="_xlnm._FilterDatabase" localSheetId="1" hidden="1">PROPUESTAS!$A$1:$V$133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6" i="2" l="1"/>
  <c r="X2" i="2"/>
  <c r="W6" i="2"/>
  <c r="W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2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<sst xmlns="http://schemas.openxmlformats.org/spreadsheetml/2006/main" count="1537" uniqueCount="461">
  <si>
    <t>EQUIPO</t>
  </si>
  <si>
    <t>NOMBRE EJECUTIVO</t>
  </si>
  <si>
    <t>CUENTA</t>
  </si>
  <si>
    <t>VENTA ESTIMADA</t>
  </si>
  <si>
    <t>NECESIDAD 1</t>
  </si>
  <si>
    <t>NECESIDAD 2</t>
  </si>
  <si>
    <t>NECESIDAD 3</t>
  </si>
  <si>
    <t>PLAN DE ACCIÓN 1</t>
  </si>
  <si>
    <t>AVANCE PLAN 1</t>
  </si>
  <si>
    <t>PLAN DE ACCIÓN 2</t>
  </si>
  <si>
    <t>AVANCE PLAN 2</t>
  </si>
  <si>
    <t>PLAN DE ACCIÓN 3</t>
  </si>
  <si>
    <t>AVANCE PLAN 3</t>
  </si>
  <si>
    <t>OPORTUNIDAD</t>
  </si>
  <si>
    <t>ESTADO</t>
  </si>
  <si>
    <t>CLAVE</t>
  </si>
  <si>
    <t>PRIORIDAD</t>
  </si>
  <si>
    <t>RESPONSABLE</t>
  </si>
  <si>
    <t>MES</t>
  </si>
  <si>
    <t>FECHA SOLICITUD</t>
  </si>
  <si>
    <t>FECHA DE ENTREGA</t>
  </si>
  <si>
    <t>LINK DE PRESENTACION</t>
  </si>
  <si>
    <t>VALOR DE LA PROPUESTA</t>
  </si>
  <si>
    <t>ASESOR INNOVACION DIGITAL</t>
  </si>
  <si>
    <t>TOTAL PROPUESTAS CERRADAS</t>
  </si>
  <si>
    <t xml:space="preserve">TOTAL VALOR </t>
  </si>
  <si>
    <t>ALIANZAS</t>
  </si>
  <si>
    <t>DISQUERAS - TIQUETERAS</t>
  </si>
  <si>
    <t>PROPUESTA DIGITAL PARA DISQUERAS, EVENTOS Y TIQUETERAS - FRANQUICIAS</t>
  </si>
  <si>
    <t>GENERAR PROPUESTA COMERCIAL</t>
  </si>
  <si>
    <t>ENTREGAR PROPUESTA</t>
  </si>
  <si>
    <t>SIN CAMBIOS</t>
  </si>
  <si>
    <t>En seguimiento</t>
  </si>
  <si>
    <t>Media</t>
  </si>
  <si>
    <t>JUNIO</t>
  </si>
  <si>
    <t>PRODUCTO DIGITAL-FRANQUICIAS-MÚSICA EN MOVIMIENTO.pptx</t>
  </si>
  <si>
    <t>Equipo Innovación Digital</t>
  </si>
  <si>
    <t xml:space="preserve">FRANQUICIAS </t>
  </si>
  <si>
    <t xml:space="preserve">PROPUESTA DE FRANQUICIAS PARA EVENTOS </t>
  </si>
  <si>
    <t>PRODUCTO DIGITAL-DEL PLAY AL SHOW.pptx</t>
  </si>
  <si>
    <t>PRODUCTOS GENERALES</t>
  </si>
  <si>
    <t>PROPUESTA DE FRANQUICIAS POR RUBROS</t>
  </si>
  <si>
    <t xml:space="preserve">SIN CAMBIOS </t>
  </si>
  <si>
    <t>FRANQUICIAS PRISA.pptx</t>
  </si>
  <si>
    <t xml:space="preserve">PROPUESTA DE FRANQUICIAS POR PAQUETES </t>
  </si>
  <si>
    <t>Producto_Digital_FRANQUICIAS PRISA 2026.pptx</t>
  </si>
  <si>
    <t xml:space="preserve">TOTAL PROPUESTAS EN SEGUIMIENTO </t>
  </si>
  <si>
    <t>ELECCIONES 2026</t>
  </si>
  <si>
    <t>PROPUESTA ELECCIONES 2026</t>
  </si>
  <si>
    <t>PRODUCTO DIGITAL-ELECCIONES 2026.pptx</t>
  </si>
  <si>
    <t>PROPUESTA DIGITAL LA RUTA DEL GOL</t>
  </si>
  <si>
    <t>PRODUCTO DIGITAL-LA RUTA DEL GOL.pptx</t>
  </si>
  <si>
    <t>PROPUESTA DE FRANQUICIAS MUNDIAL 2026</t>
  </si>
  <si>
    <t>Producto_Digital_FRANQUICIA MUNDIALISTA.pptx</t>
  </si>
  <si>
    <t>PROPUESTA DIGITAL BEAUTY</t>
  </si>
  <si>
    <t>Producto_Digital_Universo Beauty.pptx</t>
  </si>
  <si>
    <t>PROPUESTA DIGITAL CONSTRUCTORAS</t>
  </si>
  <si>
    <t>Producto_Digital_LIVING EXPERIENCE.pptx</t>
  </si>
  <si>
    <t>PROPUESTA DIGITAL SHOPPABLE</t>
  </si>
  <si>
    <t>SHOPPABLE CON DATA.pptx</t>
  </si>
  <si>
    <t>PROPUESTA  DIGITAL TECNOLOGIA DNS</t>
  </si>
  <si>
    <t>Producto_Digital_RADIO INTERACTIVO.pptx</t>
  </si>
  <si>
    <t>DESARROLO DE AGENTE DE IA</t>
  </si>
  <si>
    <t>Agente CAR AI.pptx</t>
  </si>
  <si>
    <t>CONEXIÓN PRISA</t>
  </si>
  <si>
    <t>CONEXIÓN PRISA
UNA DINÁMICA COMERCIAL QUE PRESENTA PRODUCTOS DIGITALES EXCLUSIVOS PARA CADA RUBRO, IMPULSANDO OPORTUNIDADES DE NEGOCIO EN TIEMPO REAL.</t>
  </si>
  <si>
    <t>Entregar la propuesta digital al area comercial</t>
  </si>
  <si>
    <t>Seguimiento – Evento 22 de julio</t>
  </si>
  <si>
    <t>Alta</t>
  </si>
  <si>
    <t>JULIO</t>
  </si>
  <si>
    <t>Producto_Digital-CONEXIÓN PRISA.pptx</t>
  </si>
  <si>
    <t>N1</t>
  </si>
  <si>
    <t>Andrea Morales</t>
  </si>
  <si>
    <t>MANTEQUILLA LA BUENA</t>
  </si>
  <si>
    <t>PROPUESTA CAPSULAS FRANQUICIAS - PROBANDO PROBANDO Y CHICAS EN SU SALSA</t>
  </si>
  <si>
    <t>PRODUCTO DIGITAL - LA BUENA.pptx</t>
  </si>
  <si>
    <t>Sthefanie Botello</t>
  </si>
  <si>
    <t>Rosa Diaz</t>
  </si>
  <si>
    <t>NISSAN</t>
  </si>
  <si>
    <t>DESARROLO DE PROPUESTA DIGITAL</t>
  </si>
  <si>
    <t>https://grupoprisa-my.sharepoint.com/:p:/g/personal/juangodoy_est_caracol_com_co/IQCYkmJrdbInS4u8M93JA0qcAZGDL-39y8dP9-zxG8YRQ3k</t>
  </si>
  <si>
    <t>Juan Pablo Godoy</t>
  </si>
  <si>
    <t>CHANGAN</t>
  </si>
  <si>
    <t>https://grupoprisa-my.sharepoint.com/:p:/g/personal/juangodoy_est_caracol_com_co/IQCHxe3NSSkMSpsZDwFQ5LU5Ac7jtZiYMDl8eyyLQMcBTDw</t>
  </si>
  <si>
    <t>Felipe Guillen</t>
  </si>
  <si>
    <t>SAMSUNG</t>
  </si>
  <si>
    <t>VIDEO REMOTO CON LOS 40 MÁS REALIDAD AUMENTADA</t>
  </si>
  <si>
    <t>Entregar la propuesta digital y su valorización al ejecutivo correspondiente.</t>
  </si>
  <si>
    <t>SEPTIEMBRE</t>
  </si>
  <si>
    <t>SAMSUNG + LOS 40.pptx</t>
  </si>
  <si>
    <t>Jonathan Velasquez</t>
  </si>
  <si>
    <t>Carolina Diaz</t>
  </si>
  <si>
    <t>COLSANITAS</t>
  </si>
  <si>
    <t>SE DESARROLLO UNA PROPUESTA PARA MUNDO COLSANITAS (PODCAST, CHAT IA)</t>
  </si>
  <si>
    <t>REALIZAR SEGUIMIENTO A LA PROPUESTA PARA CONOCER SU ESTADO, CONFIRMAR SI SE CONCRETÓ EL CIERRE E IDENTIFICAR OPORTUNIDADES DE MEJORA.</t>
  </si>
  <si>
    <t>AGOSTO</t>
  </si>
  <si>
    <t>FUN - PROPUESTA DIGITAL - NESTOGENO 1.xlsx</t>
  </si>
  <si>
    <t>CASA LUKER</t>
  </si>
  <si>
    <t>Realizar seguimiento a la propuesta para conocer su estado, confirmar si se concretó el cierre e identificar oportunidades de mejora.</t>
  </si>
  <si>
    <t>CASA LUKER + TROPICANA.pptx</t>
  </si>
  <si>
    <t xml:space="preserve">Andrea Morales </t>
  </si>
  <si>
    <t>ALQUERIA</t>
  </si>
  <si>
    <t>FRANQUICIA - LA MIL OFICIOS Y SE LO EXPLICO CON EXPERTOS</t>
  </si>
  <si>
    <t>ALQUERIA + TROPICANA.pptx</t>
  </si>
  <si>
    <t>DON JULIO</t>
  </si>
  <si>
    <t>Ruta del gol</t>
  </si>
  <si>
    <t>se paso la propuesta ruta del gol</t>
  </si>
  <si>
    <t>acaptaron la propuesta</t>
  </si>
  <si>
    <t>La propuesta fue aprobada por el cliente. Actualmente nos encontramos a la espera de su ejecución.</t>
  </si>
  <si>
    <t>Cerrada</t>
  </si>
  <si>
    <t>ARTURO CALLE</t>
  </si>
  <si>
    <t>DESARROLO DE PROPUESTA DIGITAL - FRANQUICIA PLAZA ALVIRA</t>
  </si>
  <si>
    <t xml:space="preserve">no aprobado por el cliente </t>
  </si>
  <si>
    <t xml:space="preserve">en seguimiento </t>
  </si>
  <si>
    <t>EL TOUR DEL ESTILO.pptx</t>
  </si>
  <si>
    <t>ADIDAS</t>
  </si>
  <si>
    <t>PROPUESTA ADIDAS.pptx</t>
  </si>
  <si>
    <t>HONOR</t>
  </si>
  <si>
    <t>no aprobada por el cliente</t>
  </si>
  <si>
    <t>PROPUESTA COMERCIAL HONOR.pptx</t>
  </si>
  <si>
    <t>NIKE</t>
  </si>
  <si>
    <t>PROPUESTA NIKE.pptx</t>
  </si>
  <si>
    <t>Natalia Zambrano</t>
  </si>
  <si>
    <t>AMAZON</t>
  </si>
  <si>
    <t>DESARROLO DE PROPUESTA DIGITAL - FRANQUICIA TECNOLOGIA</t>
  </si>
  <si>
    <t>PROPUESTA AMAZON ECOMMERCE.pptx</t>
  </si>
  <si>
    <t>N2</t>
  </si>
  <si>
    <t>Camilo Prada</t>
  </si>
  <si>
    <t>COLFONDOS S.A. PENSIONES Y CESANTIAS</t>
  </si>
  <si>
    <t xml:space="preserve">$ 92.198.334,00 </t>
  </si>
  <si>
    <t xml:space="preserve">Tiene un decrecimiento en su participación del mercado de 91%.  Y dejarón de invertir en la radio. FRANQUICIA EN SE LO EXPLICO CON EXPERTOS </t>
  </si>
  <si>
    <t>GENERAR PROPUESTA COMERCIAL - FRANQUICIA SE LO EXPLICO CON EXPERTOS</t>
  </si>
  <si>
    <t>PRODUCTO DIGITAL - COLFONDOS.pptx</t>
  </si>
  <si>
    <t>BIOCOMBUSTIBLES S.A.</t>
  </si>
  <si>
    <t>Tiene un cremiento en su participación del mercado de 77%. Radio tiene un crecimiento del 25%. Pero Prisa Media pierde la participación frente a RCN y Radio Polis.</t>
  </si>
  <si>
    <t xml:space="preserve">GENERAR PROPUESTA COMERCIAL </t>
  </si>
  <si>
    <t>Con base en la retroalimentación del cliente, se ajusta la propuesta para la campaña específica y se entrega la versión final para su validación.</t>
  </si>
  <si>
    <t>Producto_Digital-EL MUNDIAL SE JUEGA CON BIOMAX.pptx</t>
  </si>
  <si>
    <t>Luisa Escobar</t>
  </si>
  <si>
    <t>DISTRIBUIDORA TOYOTA S.A.S.</t>
  </si>
  <si>
    <t>Tiene un decrecimiento en su participación del mercado de 32%. Tienen el 61% de participación en la Radio, y Prisa Media  perdio participación en el medio radial.</t>
  </si>
  <si>
    <t xml:space="preserve">Realizar seguimiento a la propuesta para conocer su estado, confirmar si se concretó el cierre e identificar oportunidades de mejora. </t>
  </si>
  <si>
    <t>PRODUCTO DIGITAL DISTOYOTA.pptx</t>
  </si>
  <si>
    <t>BRECCIA SALUD S A S</t>
  </si>
  <si>
    <t>Tiene un decrecimiento en la participación del mercado de 25%. Tiene el 37% de participaón en la Radio, Prisa Media tiene el 6% perdiendo participación con RCN. FRANQUICIA EN ARMONIA</t>
  </si>
  <si>
    <t>GENERAR PROPUESTA COMERCIAL - FRANQUICIA EN ARMONIA</t>
  </si>
  <si>
    <t>Producto_Digital_EN EQUILIBRIO.pptx</t>
  </si>
  <si>
    <t>MERCADO LIBRE</t>
  </si>
  <si>
    <t>STREAMING SHOPPABLE EN BÉSAME</t>
  </si>
  <si>
    <t>Producto_Digital_MERCADO LIBRE LIVE COMMERCE.pptx</t>
  </si>
  <si>
    <t>CENCOSUD</t>
  </si>
  <si>
    <t xml:space="preserve">SOLICITUD STREAMING SHOPPABLE + PRISA GO </t>
  </si>
  <si>
    <t>WhatsApp Video 2026-08-25 at 7.48.54 AM.mp4</t>
  </si>
  <si>
    <t>JUMBO</t>
  </si>
  <si>
    <t>PROPUESTA DIGITAL DINAMICA CON NFC Y CHAT IA</t>
  </si>
  <si>
    <t>Producto_Digital-LA GRAN FIESTA DEL FESTIVERSARIO.pptx</t>
  </si>
  <si>
    <t>Lina Lemus</t>
  </si>
  <si>
    <t>VANTI</t>
  </si>
  <si>
    <t>PROPUESTA DIGITAL DINAMICA  PAUTA INVESTIGATIVA, CAMION TROPICANA Y NFC</t>
  </si>
  <si>
    <t>MAPA DEL ULTIMO 1_ - VANTI - TROPICANA (1).pptx</t>
  </si>
  <si>
    <t>FENAVI</t>
  </si>
  <si>
    <t>DESARROLO DE PROPUESTA DIGITAL - FRANQUICIA PROBANDO PROBANDO</t>
  </si>
  <si>
    <t xml:space="preserve">La propuesta fue presentada al cliente </t>
  </si>
  <si>
    <t>El cliente acepta la propuesta y esta queda pendiente de ejecución.</t>
  </si>
  <si>
    <t>Baja</t>
  </si>
  <si>
    <t>Producto_Digital-La proteína que une a Colombia- FENAVI.pptx</t>
  </si>
  <si>
    <t>N3</t>
  </si>
  <si>
    <t>Helen Fajardo</t>
  </si>
  <si>
    <t>UNIVERSIDAD EUROPEA</t>
  </si>
  <si>
    <t>PROPUESTA DIGITAL TODO Y MAS + FRANQUICIAS TECNOLOGIA Y LA OTRA ENTEVISTA</t>
  </si>
  <si>
    <t>PRODUCTO DIGITAL - FUTURO GLOBAL 1.pptx</t>
  </si>
  <si>
    <t>Laura Melo</t>
  </si>
  <si>
    <t>PARAMO</t>
  </si>
  <si>
    <t>solo nos ven como radio pero hacen pauta en otro lado, necesitamos vendernos como plataforma digital</t>
  </si>
  <si>
    <t>Propuesta entregada</t>
  </si>
  <si>
    <t>PROPUESTA PARAMO PRESENTA.pptx</t>
  </si>
  <si>
    <t>Diana Andrea Rodiguez</t>
  </si>
  <si>
    <t>NESTOGENO</t>
  </si>
  <si>
    <t>solicitud de propuesta digital a medida - FRANQUICIA MUJERES QUE TRANSFORMAN</t>
  </si>
  <si>
    <t>generar propuesta - FRANQUICIA MUJERES QUE TRANSFORMAN</t>
  </si>
  <si>
    <t>entregar propuesta</t>
  </si>
  <si>
    <t>EN EJECUCIÓN DURANTE EL MES DE OCTUBRE</t>
  </si>
  <si>
    <t>cerrada</t>
  </si>
  <si>
    <t>Producto Digital - NESTOGENO - CRECIENDO JUNTAS.pptx</t>
  </si>
  <si>
    <t>FALABELLA</t>
  </si>
  <si>
    <t>FALABELLA SHOPPING EXPERIENCE.pptx</t>
  </si>
  <si>
    <t>Laura Sofía Calvera</t>
  </si>
  <si>
    <t>AUTONIZA</t>
  </si>
  <si>
    <t>Ecosistema whatsaap</t>
  </si>
  <si>
    <t>Entregar la propuesta digital</t>
  </si>
  <si>
    <t>Se formaliza el cierre de la venta y se da inicio al proceso de ejecución.</t>
  </si>
  <si>
    <t>21-Producto_Digital_ECOSISTEMA-WHATSAPP.pptx</t>
  </si>
  <si>
    <t>CORONA</t>
  </si>
  <si>
    <t>PROPUESTA DE FRANQUICIA CÁPSULAS DE VIDEO CON CHECK IN</t>
  </si>
  <si>
    <t>PRODUCTO DIGITAL - CERVEZA CORONA.pptx</t>
  </si>
  <si>
    <t>N4</t>
  </si>
  <si>
    <t>Luis López</t>
  </si>
  <si>
    <t>SR SIMI</t>
  </si>
  <si>
    <t>PROPUESTA FRANQUICIA - EL ALBÚM</t>
  </si>
  <si>
    <t>https://canva.link/7gihh7hu1w85rtl</t>
  </si>
  <si>
    <t>Gina Tinjacá</t>
  </si>
  <si>
    <t>FORD</t>
  </si>
  <si>
    <t xml:space="preserve">PROPUESTA  DIGITAL - FRANQUICIA LOS PITS  + AMPLIFICACION EN REDES + PAQ DE IA + REALIDAD AUMENTADA </t>
  </si>
  <si>
    <t>PROPUESTA GENERADA Y ENVIADA AL EJECUTIVO</t>
  </si>
  <si>
    <t>FORD + CARACOL RADIO + RADIOACKTIVA.pptx</t>
  </si>
  <si>
    <t>ISHOP</t>
  </si>
  <si>
    <t>PROPUESTA  DIGITAL - STREAMING SHOPPABLE CON MARATON DEL GALLO</t>
  </si>
  <si>
    <t>ISHOP + MARATON DEL GALLO.pptx</t>
  </si>
  <si>
    <t>Karen Pérez</t>
  </si>
  <si>
    <t>GAC</t>
  </si>
  <si>
    <t>Producto_Digital-CONDUCE EL FUTURO- GAC.pptx</t>
  </si>
  <si>
    <t>VALVOLINE</t>
  </si>
  <si>
    <t xml:space="preserve"> franquicia Muchas Pelotas.</t>
  </si>
  <si>
    <t>Se concreta el cierre de la venta.</t>
  </si>
  <si>
    <t>FLAMINGO</t>
  </si>
  <si>
    <t>PROPUESTA PARA ANIVERSARIO</t>
  </si>
  <si>
    <t>SEGUIMIENTO</t>
  </si>
  <si>
    <t>https://grupoprisa-my.sharepoint.com/:p:/g/personal/juangodoy_est_caracol_com_co/IQCTvV2t-eLWQq2L9mflqXwPAfE1ADF1gSilO6Wk8SmQ5eY?CID=ad890f88-4ed8-9a0d-3c25-51ff00ffeb03&amp;SI=SentItems&amp;SLSync=F</t>
  </si>
  <si>
    <t>UNIVERSIDAD DE CATALUÑA</t>
  </si>
  <si>
    <t xml:space="preserve">DESARROLO DE PROPUESTA DIGITAL - FRANQUICIA PANTALLEROS </t>
  </si>
  <si>
    <t>PROPUESTA UNIVERSIDAD DE CATALUÑA.pptx</t>
  </si>
  <si>
    <t>N5</t>
  </si>
  <si>
    <t>Luz Karime Hernandez</t>
  </si>
  <si>
    <t>HALEON</t>
  </si>
  <si>
    <t xml:space="preserve">Desarrollar una propuesta altamente diferencial e innovadora que responda a sus altos estándares de aprobación y logre reactivar inversión frente a la participación activa que mantienen en otros medios. FRANQUICIA EN TENDENCIA </t>
  </si>
  <si>
    <t>GENERAR PROPUESTA COMERCIAL - FRANQUICIA EN TENDENCIA</t>
  </si>
  <si>
    <t>PROPUESTA HALEON.pptx</t>
  </si>
  <si>
    <t>Ana Maria Castañeda</t>
  </si>
  <si>
    <t>AR CONSTRUCCIONES</t>
  </si>
  <si>
    <t>PROPUESTA  DIGITAL - FRANQUICIA EL RADAR DE VILLAR + PAQ DE IA + FORMATO SHOPPABLE</t>
  </si>
  <si>
    <t>AR CONSTRUCCIONES + PRISA MEDIA.pptx</t>
  </si>
  <si>
    <t>CONSTRUCTORA GALIAS</t>
  </si>
  <si>
    <t>OCTUBRE</t>
  </si>
  <si>
    <t>CONSTRUCTORA LAS GALIAS + PRISA MEDIA.pptx</t>
  </si>
  <si>
    <t xml:space="preserve">Raul Herrera </t>
  </si>
  <si>
    <t>VIAJES FALABELLA</t>
  </si>
  <si>
    <t>STREAMING SHOPPABLE CON MARATON DEL GALLO</t>
  </si>
  <si>
    <t>https://grupoprisa-my.sharepoint.com/:p:/g/personal/jonathanvel_est_caracol_com_co/IQA9v97T5zv8SI81xWunnMG2ATW_f-TU0y_cVw8cNKCtpjs?e=ObtWH4</t>
  </si>
  <si>
    <t>Carol Beltran</t>
  </si>
  <si>
    <t>TA•DA</t>
  </si>
  <si>
    <t>PROPUESTA DIGITAL - DINAMICA DE SUBASTA</t>
  </si>
  <si>
    <t>PRODUCTO DIGITAL - TA•DA.pptx</t>
  </si>
  <si>
    <t>BAVARIA</t>
  </si>
  <si>
    <t>La Ruta del Gol</t>
  </si>
  <si>
    <t>AMALFITANA</t>
  </si>
  <si>
    <t>PROPUESTA DUGITAL CON DOS PUNTOS MAS FRANQUICIA DE PROBANDO PROBANDO</t>
  </si>
  <si>
    <t>PRODUCTO DIGITAL - AMALFITANA.pptx</t>
  </si>
  <si>
    <t>DECATHLON</t>
  </si>
  <si>
    <t>PROPUESTA CERRADA</t>
  </si>
  <si>
    <t>DESPEGAR</t>
  </si>
  <si>
    <t>DESPEGAR + MARATON DEL GALLO.pptx</t>
  </si>
  <si>
    <t xml:space="preserve">BAN 100 </t>
  </si>
  <si>
    <t xml:space="preserve">DESARROLO DE PROPUESTA DIGITAL  - FRANQUICIA SE LO EXPLICO CON EXPERTOS </t>
  </si>
  <si>
    <t>PROPUESTA BAN100.pptx</t>
  </si>
  <si>
    <t>CERVEZA TRIBUTO</t>
  </si>
  <si>
    <t xml:space="preserve">PROPUESTA  DIGITAL - FRANQUICIA PROBANDO PROBANDO </t>
  </si>
  <si>
    <t>Producto_Digital-TRIBUTO.pptx</t>
  </si>
  <si>
    <t>HP</t>
  </si>
  <si>
    <t>DESARROLO DE PROPUESTA DIGITAL CON FRANQUICIA TECNOLOGIA</t>
  </si>
  <si>
    <t>PROPUESTA HP.pptx</t>
  </si>
  <si>
    <t>FONTANAR</t>
  </si>
  <si>
    <t xml:space="preserve">DESARROLO DE PROPUESTA DIGITAL - FRANQUICIA GABSULAS </t>
  </si>
  <si>
    <t>se realiza un re ajuste, estamos a la espera por aprobacion del cliente</t>
  </si>
  <si>
    <t>Presentación Escape Game - Fontanar.pptx</t>
  </si>
  <si>
    <t>Mauricio Agudelo</t>
  </si>
  <si>
    <t>AVIATUR</t>
  </si>
  <si>
    <t xml:space="preserve">DESARROLO DE PROPUESTA DIGITAL - FRANQUICIA ENTE VALIENTES Y TEAM HATER </t>
  </si>
  <si>
    <t>AVIATUR PROPUESTA FINAL 2.pptx</t>
  </si>
  <si>
    <t>KIMBERLY CLARK</t>
  </si>
  <si>
    <t xml:space="preserve">DESARROLO DE PROPUESTA DIGITAL - FRANQUICIAS CARTAS A MI EX Y LA LUCIERNAGA PARODIAS </t>
  </si>
  <si>
    <t>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</t>
  </si>
  <si>
    <t>PUNTO RED</t>
  </si>
  <si>
    <t>FRANQUICIA - SE LO EXPLICO CON EXPERTOS</t>
  </si>
  <si>
    <t>PUNTO RED + TROPICANA .pptx</t>
  </si>
  <si>
    <t>TEATRO NACIONAL</t>
  </si>
  <si>
    <t>PROPUESTA A LA MEDIDA X EMISORA</t>
  </si>
  <si>
    <t xml:space="preserve">Se realizo un ajuste a la propuesta envia, deacurdo a lo conversado con el cliente </t>
  </si>
  <si>
    <t>TEATRO NACIONAL + RADIOACKTIVA + BÉSAME + CARACOL RADIO.pptx</t>
  </si>
  <si>
    <t>Elsa Cortez</t>
  </si>
  <si>
    <t>DALE!</t>
  </si>
  <si>
    <t>Video remoto + Chat IA</t>
  </si>
  <si>
    <t>dale! + Radioactiva.pptx</t>
  </si>
  <si>
    <t>ZURICH</t>
  </si>
  <si>
    <t>FRANQUICIA - EL RADAR DE VILLAR</t>
  </si>
  <si>
    <t>ZURICH + CARACOL.pptx</t>
  </si>
  <si>
    <t>GRAN ESTACIÓN</t>
  </si>
  <si>
    <t>SUBASTA SMARTPROMO</t>
  </si>
  <si>
    <t>GRAN ESTACIÓN - PRISA MEDIA.pptx</t>
  </si>
  <si>
    <t>ALKOMPRAR</t>
  </si>
  <si>
    <t>ALKOMPRAR - PRISA MEDIA.pptx</t>
  </si>
  <si>
    <t>KALLEY</t>
  </si>
  <si>
    <t>KALLEY + BESAME.pptx</t>
  </si>
  <si>
    <t>RUSHBET</t>
  </si>
  <si>
    <t>RUSHBET + AS.pptx</t>
  </si>
  <si>
    <t>DR SIMI</t>
  </si>
  <si>
    <t>VIDEO SECCION LA  LUCIERNGA</t>
  </si>
  <si>
    <t>Reporte Digital - DR SIMI - Capítulos 2026.pptx</t>
  </si>
  <si>
    <t>VOLVO</t>
  </si>
  <si>
    <t>FORMATO AUTOMOTRIZ SALÓN INTERNACIONAL DEL AUTOMOVIL</t>
  </si>
  <si>
    <t>https://grupoprisa-my.sharepoint.com/:p:/g/personal/juangodoy_est_caracol_com_co/IQDSWKXeDPMdS5tkug0MQFWjAUGCWwnBGQmQfJXQvj2cBNQ</t>
  </si>
  <si>
    <t>Rosa Díaz</t>
  </si>
  <si>
    <t>https://grupoprisa-my.sharepoint.com/:p:/g/personal/juangodoy_est_caracol_com_co/IQDDsXgYeG9_TImaUn_AKuBsASJ-LTyG6qh8P6h5USPzv2Q</t>
  </si>
  <si>
    <t>TITÁN PLAZA</t>
  </si>
  <si>
    <t>FORMATO SAN VALENTÍN</t>
  </si>
  <si>
    <t>https://grupoprisa-my.sharepoint.com/:p:/g/personal/juangodoy_est_caracol_com_co/IQCvZTmvR_RlQLedDnW4fsloATxFmTeNWcAtMsTUU7NKz2A</t>
  </si>
  <si>
    <t>GWM</t>
  </si>
  <si>
    <t>FORMATO AUTOMOTRIZ SALÓN INTERNACIONAL DEL AUTOMOVIL LOW COST</t>
  </si>
  <si>
    <t>https://grupoprisa-my.sharepoint.com/:p:/g/personal/juangodoy_est_caracol_com_co/IQDt8tsKVVVCQ5-CP2-kt6QNAWhUeISgFem7AngGkynLkuw</t>
  </si>
  <si>
    <t>PIBANK</t>
  </si>
  <si>
    <t>FRANQUICIA - EL RADAR DE VILLAR + IA GENERATIVA</t>
  </si>
  <si>
    <t>https://grupoprisa-my.sharepoint.com/:p:/g/personal/juangodoy_est_caracol_com_co/IQBV2lVvM2NXTbMe6arvJR9EAYtY8-0ngEj-YSToUieJ5h0</t>
  </si>
  <si>
    <t>AVIANCA</t>
  </si>
  <si>
    <t xml:space="preserve">FORMATO RADIAL + SHOPPABLE </t>
  </si>
  <si>
    <t>https://grupoprisa-my.sharepoint.com/:p:/g/personal/juangodoy_est_caracol_com_co/IQAuRQ4M4MybSKdmulQHytkvAdgW78pcdvX9Moj25CNSZUU</t>
  </si>
  <si>
    <t>Nicole Hincapié</t>
  </si>
  <si>
    <t>GRUPO AVAL</t>
  </si>
  <si>
    <t>VIDEO SECCIONES + PREROLL DE VIDEO + DISPLAY + CANAL DE WHATSAPP + NOTA EDITORIAL</t>
  </si>
  <si>
    <t>https://grupoprisa-my.sharepoint.com/:p:/g/personal/juangodoy_est_caracol_com_co/IQDHPYK6HToBTZeIr6YijdI_ATFYXOF15iKAkYASW9lpG14</t>
  </si>
  <si>
    <t>SCORES 24</t>
  </si>
  <si>
    <t>TODO Y MÁS</t>
  </si>
  <si>
    <t>PROPUESTA SCORES 24.pptx</t>
  </si>
  <si>
    <t>AMOR Y AMISTAD</t>
  </si>
  <si>
    <t>VIDEO REMOTO + NFC</t>
  </si>
  <si>
    <t>BETPLAY + RADIOACTIVA.pptx</t>
  </si>
  <si>
    <t>NFC</t>
  </si>
  <si>
    <t>INNOVACIÓN PRISA LAB.pptx</t>
  </si>
  <si>
    <t>BETPLAY</t>
  </si>
  <si>
    <t>FRANQUICIA - MUCHAS PELOTAS + IA GENERATIVA + SHOPPABLE</t>
  </si>
  <si>
    <t>BELONG</t>
  </si>
  <si>
    <t>FRANQUICIA - EL RADAR DE VILLAR + IA GENERATIVA + SHOPPABLE</t>
  </si>
  <si>
    <t>BELONG + CARACOL RADIO.pptx</t>
  </si>
  <si>
    <t>CLIC AIR</t>
  </si>
  <si>
    <t>FRANQUICIA - EN TERRITORIO + IA GENERATIVA + SHOPPABLE</t>
  </si>
  <si>
    <t>CLICK + CARACOL RADIO.pptx</t>
  </si>
  <si>
    <t>AUTECO</t>
  </si>
  <si>
    <t>PROPUESTA AUTECO EN MOVIMIENTO</t>
  </si>
  <si>
    <t>PROPUESTA DIGITAL - AUTECO EN MOVIMIENTO.pptx</t>
  </si>
  <si>
    <t>Susan Castaño</t>
  </si>
  <si>
    <t>ARQ DOLLARAPP</t>
  </si>
  <si>
    <t>SE REALIZA SOLICITUD DE STREAMING SHOPPABLE PARA DINAMICA CON SENCOSUD</t>
  </si>
  <si>
    <t>PROPUESTA ARQ.pptx</t>
  </si>
  <si>
    <t>COCA COLA</t>
  </si>
  <si>
    <t>PROPUESTA TENDEROS COCA COLA 1.pptx</t>
  </si>
  <si>
    <t>TELEPORT ROYAL</t>
  </si>
  <si>
    <t>FORMATO SHOPPABLE + HISTORIAS META + BOTON FIJO</t>
  </si>
  <si>
    <t>TELEPORT ROYAL - CARACOL.pptx</t>
  </si>
  <si>
    <t xml:space="preserve">EAN </t>
  </si>
  <si>
    <t xml:space="preserve">PROPUESTA EAN MACHT VIDEO SHOPPABLE Y CHAT IA </t>
  </si>
  <si>
    <t>PROPUESTA DIGITAL - EAN MATCH.pptx</t>
  </si>
  <si>
    <t>EASY</t>
  </si>
  <si>
    <t>PROPUESTA MARATON DEL GALLO + VIDEO SHOPPABLE, PRE ROLL Y DISPLAY</t>
  </si>
  <si>
    <t>EASY MARATON DEL GALLO (1).pptx</t>
  </si>
  <si>
    <t>Valentina Párraga</t>
  </si>
  <si>
    <t>CAJAR</t>
  </si>
  <si>
    <t xml:space="preserve"> CONEXION PRISA - JORNADA DE COCREACIÓN - 02 SEP 2026</t>
  </si>
  <si>
    <t>Jornada de Cocreación</t>
  </si>
  <si>
    <t>CAJAR + LOS 40 + TROPICANA + CARACOL.pptx</t>
  </si>
  <si>
    <t>PROPUESTA DIGITAL CON LOS 40</t>
  </si>
  <si>
    <t>ASTARA</t>
  </si>
  <si>
    <t>FORMATO AUTOMOTRIZ CON VIDEO CONTENIDO - FRANQUICIA - NFC</t>
  </si>
  <si>
    <t>https://grupoprisa-my.sharepoint.com/:p:/g/personal/juangodoy_est_caracol_com_co/IQB0CKVy2Hf-Rog31SUnwrBhAdgYEabMNfTNwbyj6HFpHvY</t>
  </si>
  <si>
    <t>UNIVERSIDAD DE LA SALLE</t>
  </si>
  <si>
    <t>PROPUESTA MARATÓN DEL GALLO</t>
  </si>
  <si>
    <t>https://grupoprisa-my.sharepoint.com/:p:/g/personal/juangodoy_est_caracol_com_co/IQBTmUpdxx02Q5wEfD6ZyuEoAfPAKsNWYLaFXST2CakjrQw</t>
  </si>
  <si>
    <t>SHOPPABLE EN STREAMING, VIDEO SECCIÓN CON PRODUCT PLACEMENT Y CHAT CON IA + NOTA EDITORIAL</t>
  </si>
  <si>
    <t>https://grupoprisa-my.sharepoint.com/:p:/g/personal/juangodoy_est_caracol_com_co/IQCGhLx5YlduTqJn4i-mrahIAXd_c32-9RURQLfTRVVziwA</t>
  </si>
  <si>
    <t>CERÁMICAS CORONA</t>
  </si>
  <si>
    <t>FRANQUICIA, CHAT CON IA + NOTA, RA Y VIDEO SECCIÓN CON PP</t>
  </si>
  <si>
    <t>https://grupoprisa-my.sharepoint.com/:p:/g/personal/juangodoy_est_caracol_com_co/IQAqldrPuxt6T7iyefkTMCkXAS3ttotlJht6BvoleB0Bgts</t>
  </si>
  <si>
    <t>DIDI</t>
  </si>
  <si>
    <t xml:space="preserve">SHOPPABLE EN STREAMING, POST EN REDES Y CHAT CON IA + NOTA </t>
  </si>
  <si>
    <t>https://grupoprisa-my.sharepoint.com/:p:/g/personal/juangodoy_est_caracol_com_co/IQBgenx7wVaETZKx1O05c59xAfDTwqRTyKtZA3cCenk4x2o</t>
  </si>
  <si>
    <t>GM - CHEVROLET</t>
  </si>
  <si>
    <t>https://grupoprisa-my.sharepoint.com/:p:/g/personal/juangodoy_est_caracol_com_co/IQA-xkuln8tHT68mSi6bkdVSAd5xs5GFxUxmBy4cGEyeXLg</t>
  </si>
  <si>
    <t>LULO BANK</t>
  </si>
  <si>
    <t>FRANQUICIA, CHAT CON IA, PRE ROLL DE AUDIO Y VIDEO, Y VIDEO SECCIÓN CON PP</t>
  </si>
  <si>
    <t>https://grupoprisa-my.sharepoint.com/:p:/g/personal/juangodoy_est_caracol_com_co/IQBm7-4y6-pxTbZMFVPAMnoRAcD-ZQTDarxFUFTGwNj4DGk</t>
  </si>
  <si>
    <t>ANIMALS</t>
  </si>
  <si>
    <t>VIDEO REMOTOS + NFC</t>
  </si>
  <si>
    <t>https://grupoprisa-my.sharepoint.com/:p:/g/personal/juangodoy_est_caracol_com_co/IQDhfZd5k4OfRq1X2d1CwohFAQyOOWN_fe9BB3x4PBalwv0</t>
  </si>
  <si>
    <t>https://grupoprisa-my.sharepoint.com/:p:/g/personal/juangodoy_est_caracol_com_co/IQBb6K_mtfKBTL6Ihx0U1t35AX4otYjqeiQUDOa0Uc09Axk</t>
  </si>
  <si>
    <t>Hugo Urrea</t>
  </si>
  <si>
    <t>PEPE GANGA</t>
  </si>
  <si>
    <t>VIDEO SECCIÓN + SHOPPABLE</t>
  </si>
  <si>
    <t>https://grupoprisa-my.sharepoint.com/:p:/g/personal/juangodoy_est_caracol_com_co/IQDmBamp6Ul0Q69nQD7tvhhLAZvqs7i6e3z42YFyzBtv6Rg</t>
  </si>
  <si>
    <t>PROFAMILIA</t>
  </si>
  <si>
    <t>https://grupoprisa-my.sharepoint.com/:p:/g/personal/juangodoy_est_caracol_com_co/IQAfrpXpHQ7FToOExeVBEX_9AQ9Z-3qSYLBWJ_J5THSupr4</t>
  </si>
  <si>
    <t>PLAZA CLARO</t>
  </si>
  <si>
    <t>MERRY PRISAMASS</t>
  </si>
  <si>
    <t>https://grupoprisa-my.sharepoint.com/:p:/g/personal/juangodoy_est_caracol_com_co/IQC5Lq2L-EahQaYTGUiSfYjZAcOZY3ugIVEC0SuMov2GuYY</t>
  </si>
  <si>
    <t>Raul Herrera</t>
  </si>
  <si>
    <t>COMPENSAR</t>
  </si>
  <si>
    <t>VIDEO SECCIÓN + VIDEO CON TALENTO + IA GENERATIVA CON NOTA EDITORIAL</t>
  </si>
  <si>
    <t>BANCAMIA</t>
  </si>
  <si>
    <t>VIDEO CORTO CON TAQLENTO + IA GENERATIVA CON NOTA + SHOPPABLE</t>
  </si>
  <si>
    <t>VALORIZACIÓN PROPUESTA BANCA.xlsx</t>
  </si>
  <si>
    <t>VARDI</t>
  </si>
  <si>
    <t>FRANQUICIA A LOS PITS + IA GENERATICA CON NOTA EDITORIAL + NFC</t>
  </si>
  <si>
    <t>https://grupoprisa-my.sharepoint.com/:p:/g/personal/juangodoy_est_caracol_com_co/IQDSJfomfIJgT7KLftXlzBQDAY2jMnJ12WAsTCMAuFQEmw8</t>
  </si>
  <si>
    <t>XIAOMI</t>
  </si>
  <si>
    <t>PROPUESTA  DIGITAL -  FORMATO SHOPPABLE + TECNOLOGIA NFC</t>
  </si>
  <si>
    <t>XIAOMI + PRISA MEDIA.pptx</t>
  </si>
  <si>
    <t>INTEL</t>
  </si>
  <si>
    <t>PROPUESTA DIGITAL - INTEL.pptx</t>
  </si>
  <si>
    <t>CONSTRUCTORA BOLÍVAR</t>
  </si>
  <si>
    <t>POSTS EN REDES + SHOPPABLE EN STREAMING + VIDEO SECCIÓN</t>
  </si>
  <si>
    <t>PROPUESTA CONSTRUCTORA BOLIVAR.pptx</t>
  </si>
  <si>
    <t>VIDEO CONTENIDO CON 2 TALENTOS + NFC + IA GENERATIVA + POSTS EN REDES</t>
  </si>
  <si>
    <t>PROPUESTA FALABELLA.pptx</t>
  </si>
  <si>
    <t>MALL PLAZA</t>
  </si>
  <si>
    <t>PROPUESTA MALLPLAZA.pptx</t>
  </si>
  <si>
    <t>MOTOROLA</t>
  </si>
  <si>
    <t>PROPUESTA DIGITAL FRANQUICIA PANTALLEROS + PAQ DE IA GENERATIVA</t>
  </si>
  <si>
    <t>https://grupoprisa-my.sharepoint.com/:p:/g/personal/jonathanvel_est_caracol_com_co/IQACgNe6PpdzRrCpB_DJtu8pATy9vNH0vpm2uBi_ELlubzc?e=6oYTwW</t>
  </si>
  <si>
    <t>ELECTROLUX</t>
  </si>
  <si>
    <t>PROPUESTA DIGITAL STREAMING SHOPPABLE + VIDEOS CORTOS + PRISA GO</t>
  </si>
  <si>
    <t>https://grupoprisa-my.sharepoint.com/:p:/g/personal/jonathanvel_est_caracol_com_co/IQAEzmF09SOpS5t40XJce0D9AZl2hVFk9mxwQ5tY_p-DaqY?e=9EZWRH</t>
  </si>
  <si>
    <t>IKEA</t>
  </si>
  <si>
    <t xml:space="preserve">PROPUESTA DIGITAL SANTA IA </t>
  </si>
  <si>
    <t>HOMECENTER</t>
  </si>
  <si>
    <t xml:space="preserve">PARQUE ARAUCO </t>
  </si>
  <si>
    <t>PROPUESTA DIGITAL PARA OCTUBRE, BLACK FRIDAY Y NAVIDAD</t>
  </si>
  <si>
    <t>https://grupoprisa-my.sharepoint.com/:p:/g/personal/jonathanvel_est_caracol_com_co/IQDkALcde5A9SIp5rR9fo9TYAe-oYU88jqtS-UoGu6Ton14?e=dwz584</t>
  </si>
  <si>
    <t>PLUXEE</t>
  </si>
  <si>
    <t>PROPUESTA DIGITAL NAVIDAD</t>
  </si>
  <si>
    <t>PROPUESTA PLUXEE.pptx</t>
  </si>
  <si>
    <t>VIVEMAX</t>
  </si>
  <si>
    <t>PROPUESTA DIGITAL FRANQUICIA BESABI</t>
  </si>
  <si>
    <t>PROPUESTA VIVEMAX.pptx</t>
  </si>
  <si>
    <t>NAVIDAD</t>
  </si>
  <si>
    <t>PROPUESTA TEMPORADA NAVIDEÑA</t>
  </si>
  <si>
    <t>PROPUESTA NAVIDEÑA - SANTA IA.pptx</t>
  </si>
  <si>
    <t>CONSTRUCCIONES PLANIFICADAS</t>
  </si>
  <si>
    <t>STREAMING SHOPPABLE CON LOS 40</t>
  </si>
  <si>
    <t>CONSTRUCTORAS + PRISA MEDIA.pptx</t>
  </si>
  <si>
    <t>HALLOWEEN</t>
  </si>
  <si>
    <t>PROPUESTA TEMPORADA OCTUBRE</t>
  </si>
  <si>
    <t>halloween LOS40.pptx</t>
  </si>
  <si>
    <t>COPA AIRLINES</t>
  </si>
  <si>
    <t>FRANQUICIA CHECK IN</t>
  </si>
  <si>
    <t>PROPUESTA COPA AIRLINES.pptx</t>
  </si>
  <si>
    <t>OPEN ENGLISH</t>
  </si>
  <si>
    <t xml:space="preserve">VIDEO CONTENIDO + PUSH NOTIFICATION </t>
  </si>
  <si>
    <t>OPEN ENGLISH + CARACOL RADIO.pptx</t>
  </si>
  <si>
    <t>HEEL</t>
  </si>
  <si>
    <t>FRANQUICIA BESABI</t>
  </si>
  <si>
    <t>https://grupoprisa-my.sharepoint.com/:p:/g/personal/jonathanvel_est_caracol_com_co/IQCq8nxfqBeQRLr-01tbEZ53AT-PnIWzAKVYH6ChPX7rgRU?e=DvjQxZ</t>
  </si>
  <si>
    <t>CAMARA COLOMBIANA DEL LIBRO</t>
  </si>
  <si>
    <t>FRANQUICIA LA LUCIERNAGA + VIDEO SECCONES</t>
  </si>
  <si>
    <t>PROPUESTA CAMARA COLOMBIANA DEL LIBRO.pptx</t>
  </si>
  <si>
    <t>franquicia Salud y Belleza.pptx</t>
  </si>
  <si>
    <t xml:space="preserve">SHOPPABLE EN STREAMING, VIDEO SECCIÓN CON PRODUCT PLACEMENT </t>
  </si>
  <si>
    <t>PRESENTACION CHEVROLET.pptx</t>
  </si>
  <si>
    <t xml:space="preserve">VIDEO CONTENIDO + NFC </t>
  </si>
  <si>
    <t>NFC VOLVO.pptx</t>
  </si>
  <si>
    <t>OFERO</t>
  </si>
  <si>
    <t>NFC + REALIDAD AUMENTADA</t>
  </si>
  <si>
    <t>VIDEO NFC + REALIDAD AUMENTADA OFERO.mp4</t>
  </si>
  <si>
    <t>HDI SEGUROS</t>
  </si>
  <si>
    <t xml:space="preserve">FRANQUICIA A LOS PITS </t>
  </si>
  <si>
    <t>PROPUESTA HDI SEGUROS.pptx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</si>
</sst>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40A]\ #,##0"/>
  </numFmts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/>
      <name val="Century Gothic"/>
    </font>
    <font>
      <sz val="10"/>
      <color theme="1"/>
      <name val="Century Gothic"/>
    </font>
    <font>
      <u/>
      <sz val="10"/>
      <color theme="10"/>
      <name val="Century Gothic"/>
    </font>
    <font>
      <sz val="10"/>
      <color rgb="FF242424"/>
      <name val="Century Gothic"/>
    </font>
    <font>
      <sz val="10"/>
      <color rgb="FF000000"/>
      <name val="Century Gothic"/>
    </font>
    <font>
      <sz val="10"/>
      <name val="Century Gothic"/>
    </font>
    <font>
      <b/>
      <sz val="10"/>
      <color theme="1"/>
      <name val="Century Gothic"/>
    </font>
    <font>
      <b/>
      <sz val="16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4" fillId="0" borderId="0" xfId="0" applyFont="1"/>
    <xf numFmtId="0" fontId="6" fillId="3" borderId="2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14" fontId="4" fillId="0" borderId="0" xfId="0" applyNumberFormat="1" applyFont="1"/>
    <xf numFmtId="164" fontId="4" fillId="0" borderId="0" xfId="0" applyNumberFormat="1" applyFont="1"/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uangodoy_est_caracol_com_co/Documents/Documentos/Plantilla_Tablero_Comercial_PRISA.xlsx" TargetMode="External"/><Relationship Id="rId1" Type="http://schemas.openxmlformats.org/officeDocument/2006/relationships/externalLinkPath" Target="/personal/juangodoy_est_caracol_com_co/Documents/Documentos/Plantilla_Tablero_Comercial_PRI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STATUS INNOVACIÓN DIGITA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upoprisa-my.sharepoint.com/:p:/r/personal/nicolas_bermudez_caracol_com_co/Documents/DIGITAL/Productos%20Digitales/CONSTRUCTORAS%20+%20PRISA%20MEDIA.pptx?d=wf8d54c5db65042f08523f4251deed59f&amp;csf=1&amp;web=1&amp;e=1xE50o" TargetMode="External"/><Relationship Id="rId21" Type="http://schemas.openxmlformats.org/officeDocument/2006/relationships/hyperlink" Target="https://grupoprisa-my.sharepoint.com/:p:/r/personal/nicolas_bermudez_caracol_com_co/Documents/DIGITAL/Productos%20Digitales/PRODUCTO%20DIGITAL%20-%20COLFONDOS.pptx?d=w604ca08f351b4a15bbe6750b670656ba&amp;csf=1&amp;web=1&amp;e=qKLRfY" TargetMode="External"/><Relationship Id="rId42" Type="http://schemas.openxmlformats.org/officeDocument/2006/relationships/hyperlink" Target="https://canva.link/7gihh7hu1w85rtl" TargetMode="External"/><Relationship Id="rId47" Type="http://schemas.openxmlformats.org/officeDocument/2006/relationships/hyperlink" Target="https://grupoprisa-my.sharepoint.com/:p:/r/personal/nicolas_bermudez_caracol_com_co/Documents/DIGITAL/Productos%20Digitales/FRANQUICIAS%20PRISA.pptx?d=w7ca6bbbb9fc144d090b1822bae074d33&amp;csf=1&amp;web=1&amp;e=MjSN1h" TargetMode="External"/><Relationship Id="rId63" Type="http://schemas.openxmlformats.org/officeDocument/2006/relationships/hyperlink" Target="https://grupoprisa-my.sharepoint.com/:p:/r/personal/nicolas_bermudez_caracol_com_co/Documents/DIGITAL/Productos%20Digitales/PUNTO%20RED%20+%20TROPICANA%20.pptx?d=w9659842f1a2b4cb5a0078e70c87d526a&amp;csf=1&amp;web=1&amp;e=1aPEiq" TargetMode="External"/><Relationship Id="rId68" Type="http://schemas.openxmlformats.org/officeDocument/2006/relationships/hyperlink" Target="https://grupoprisa-my.sharepoint.com/:p:/g/personal/juangodoy_est_caracol_com_co/IQDt8tsKVVVCQ5-CP2-kt6QNAWhUeISgFem7AngGkynLkuw" TargetMode="External"/><Relationship Id="rId84" Type="http://schemas.openxmlformats.org/officeDocument/2006/relationships/hyperlink" Target="https://grupoprisa-my.sharepoint.com/:p:/r/personal/jonathanvel_est_caracol_com_co/Documents/Datos%20adjuntos/GRAN%20ESTACI%C3%93N%20-%20%20PRISA%20MEDIA.pptx?d=wa13cb38db90b413f93dff9631e9484bd&amp;csf=1&amp;web=1&amp;e=mn0eex" TargetMode="External"/><Relationship Id="rId89" Type="http://schemas.openxmlformats.org/officeDocument/2006/relationships/hyperlink" Target="https://grupoprisa-my.sharepoint.com/:p:/g/personal/juangodoy_est_caracol_com_co/IQDmBamp6Ul0Q69nQD7tvhhLAZvqs7i6e3z42YFyzBtv6Rg" TargetMode="External"/><Relationship Id="rId112" Type="http://schemas.openxmlformats.org/officeDocument/2006/relationships/hyperlink" Target="https://grupoprisa-my.sharepoint.com/:p:/g/personal/juangodoy_est_caracol_com_co/IQBYFroMCKOPRZ06_QxqOnh5AQTvOH0oR43R6i2aaUVr0vA?e=Dw1FHB" TargetMode="External"/><Relationship Id="rId16" Type="http://schemas.openxmlformats.org/officeDocument/2006/relationships/hyperlink" Target="https://grupoprisa-my.sharepoint.com/:p:/g/personal/juangodoy_est_caracol_com_co/IQCHxe3NSSkMSpsZDwFQ5LU5Ac7jtZiYMDl8eyyLQMcBTDw" TargetMode="External"/><Relationship Id="rId107" Type="http://schemas.openxmlformats.org/officeDocument/2006/relationships/hyperlink" Target="https://grupoprisa-my.sharepoint.com/:p:/g/personal/jonathanvel_est_caracol_com_co/IQCfTVeWxhZnRoMsnnkskFipAb8l67guZdrtOsxVbF4UPJE?e=FX7uvV" TargetMode="External"/><Relationship Id="rId11" Type="http://schemas.openxmlformats.org/officeDocument/2006/relationships/hyperlink" Target="https://grupoprisa-my.sharepoint.com/:p:/r/personal/nicolas_bermudez_caracol_com_co/Documents/DIGITAL/Productos%20Digitales/Producto_Digital_RADIO%20INTERACTIVO.pptx?d=wf77035a5a60345069d3e3b13c31bcc3b&amp;csf=1&amp;web=1&amp;e=HkMS6V" TargetMode="External"/><Relationship Id="rId32" Type="http://schemas.openxmlformats.org/officeDocument/2006/relationships/hyperlink" Target="https://grupoprisa-my.sharepoint.com/:p:/r/personal/nicolas_bermudez_caracol_com_co/Documents/DIGITAL/Productos%20Digitales/MAPA%20DEL%20ULTIMO%201_%20-%20VANTI%20-%20TROPICANA%20(1).pptx?d=w4e4aa5bcd4f1450290e160dc423311a0&amp;csf=1&amp;web=1&amp;e=LqUoNh" TargetMode="External"/><Relationship Id="rId37" Type="http://schemas.openxmlformats.org/officeDocument/2006/relationships/hyperlink" Target="https://grupoprisa-my.sharepoint.com/:p:/r/personal/sthefanie_botello_caracol_com_co/Documents/Attachments/FALABELLA%20SHOPPING%20EXPERIENCE.pptx?d=w0b3200f1b1a247a88b058b5977a78b00&amp;csf=1&amp;web=1&amp;e=BjDwct" TargetMode="External"/><Relationship Id="rId53" Type="http://schemas.openxmlformats.org/officeDocument/2006/relationships/hyperlink" Target="https://grupoprisa-my.sharepoint.com/:p:/r/personal/nicolas_bermudez_caracol_com_co/Documents/DIGITAL/Productos%20Digitales/PRODUCTO%20DIGITAL%20-%20TA%E2%80%A2DA.pptx?d=w333775fb57af4bb188f72c5f793eefe8&amp;csf=1&amp;web=1&amp;e=uaWwUN" TargetMode="External"/><Relationship Id="rId58" Type="http://schemas.openxmlformats.org/officeDocument/2006/relationships/hyperlink" Target="https://grupoprisa-my.sharepoint.com/:p:/g/personal/juangodoy_est_caracol_com_co/IQAbvqSuk_j7R6fukUVkjx7zATXZHTUC5Rp49sx_jKdXR4A?e=kuUIR2" TargetMode="External"/><Relationship Id="rId74" Type="http://schemas.openxmlformats.org/officeDocument/2006/relationships/hyperlink" Target="https://grupoprisa-my.sharepoint.com/:p:/g/personal/juangodoy_est_caracol_com_co/IQAqldrPuxt6T7iyefkTMCkXAS3ttotlJht6BvoleB0Bgts" TargetMode="External"/><Relationship Id="rId79" Type="http://schemas.openxmlformats.org/officeDocument/2006/relationships/hyperlink" Target="https://grupoprisa-my.sharepoint.com/:p:/r/personal/jonathanvel_est_caracol_com_co/Documents/Datos%20adjuntos/TELEPORT%20ROYAL%20-%20CARACOL.pptx?d=wc480b2976e8a41ba963977348f97ab1b&amp;csf=1&amp;web=1&amp;e=Ql0tum" TargetMode="External"/><Relationship Id="rId102" Type="http://schemas.openxmlformats.org/officeDocument/2006/relationships/hyperlink" Target="https://grupoprisa-my.sharepoint.com/:p:/g/personal/jonathanvel_est_caracol_com_co/IQAEzmF09SOpS5t40XJce0D9AZl2hVFk9mxwQ5tY_p-DaqY?e=9EZWRH" TargetMode="External"/><Relationship Id="rId123" Type="http://schemas.openxmlformats.org/officeDocument/2006/relationships/hyperlink" Target="https://grupoprisa-my.sharepoint.com/:p:/r/personal/juangodoy_est_caracol_com_co/Documents/Attachments/PROPUESTA%20TENDEROS%20COCA%20COLA%201.pptx?d=w53245de537cf4cc2879baa7953e7b891&amp;csf=1&amp;web=1&amp;e=bj6zkn" TargetMode="External"/><Relationship Id="rId128" Type="http://schemas.openxmlformats.org/officeDocument/2006/relationships/hyperlink" Target="https://grupoprisa-my.sharepoint.com/:p:/r/personal/nicolas_bermudez_caracol_com_co/Documents/DIGITAL/Productos%20Digitales/INNOVACI%C3%93N%20PRISA%20LAB.pptx?d=w132f38967526493788837a41fcae2bca&amp;csf=1&amp;web=1&amp;e=C5I3cK" TargetMode="External"/><Relationship Id="rId5" Type="http://schemas.openxmlformats.org/officeDocument/2006/relationships/hyperlink" Target="https://grupoprisa-my.sharepoint.com/:p:/r/personal/nicolas_bermudez_caracol_com_co/Documents/DIGITAL/Productos%20Digitales/Producto_Digital_FRANQUICIAS%20PRISA%202026.pptx?d=w9337b3fe008347e99b45d6f45674336d&amp;csf=1&amp;web=1&amp;e=U2AJ0F" TargetMode="External"/><Relationship Id="rId90" Type="http://schemas.openxmlformats.org/officeDocument/2006/relationships/hyperlink" Target="https://grupoprisa-my.sharepoint.com/:p:/g/personal/juangodoy_est_caracol_com_co/IQC5Lq2L-EahQaYTGUiSfYjZAcOZY3ugIVEC0SuMov2GuYY" TargetMode="External"/><Relationship Id="rId95" Type="http://schemas.openxmlformats.org/officeDocument/2006/relationships/hyperlink" Target="https://grupoprisa-my.sharepoint.com/:p:/r/personal/jonathanvel_est_caracol_com_co/Documents/Datos%20adjuntos/XIAOMI%20+%20PRISA%20MEDIA.pptx?d=w3951dc8b6b7c4abb96deb849b22ff653&amp;csf=1&amp;web=1&amp;e=2aWKHM" TargetMode="External"/><Relationship Id="rId22" Type="http://schemas.openxmlformats.org/officeDocument/2006/relationships/hyperlink" Target="https://grupoprisa-my.sharepoint.com/:p:/r/personal/nicolas_bermudez_caracol_com_co/Documents/DIGITAL/Productos%20Digitales/Producto_Digital-EL%20MUNDIAL%20SE%20JUEGA%20CON%20BIOMAX.pptx?d=w2ef85ceb9ef04c3284ee9e36949a1c8f&amp;csf=1&amp;web=1&amp;e=OS90Gr" TargetMode="External"/><Relationship Id="rId27" Type="http://schemas.openxmlformats.org/officeDocument/2006/relationships/hyperlink" Target="https://grupoprisa-my.sharepoint.com/:p:/r/personal/juangodoy_est_caracol_com_co/Documents/Attachments/PROPUESTA%20AMAZON%20ECOMMERCE.pptx?d=w62b49227b12142bc83e0320c7091870b&amp;csf=1&amp;web=1&amp;e=vMEsxV" TargetMode="External"/><Relationship Id="rId43" Type="http://schemas.openxmlformats.org/officeDocument/2006/relationships/hyperlink" Target="https://grupoprisa-my.sharepoint.com/:p:/r/personal/jonathanvel_est_caracol_com_co/Documents/Datos%20adjuntos/FORD%20+%20CARACOL%20RADIO%20+%20RADIOACKTIVA.pptx?d=w533b15ebf6424b52a0786c919dc1bb99&amp;csf=1&amp;web=1&amp;e=UccbWv" TargetMode="External"/><Relationship Id="rId48" Type="http://schemas.openxmlformats.org/officeDocument/2006/relationships/hyperlink" Target="https://grupoprisa-my.sharepoint.com/:p:/g/personal/juangodoy_est_caracol_com_co/IQCTvV2t-eLWQq2L9mflqXwPAfE1ADF1gSilO6Wk8SmQ5eY?CID=ad890f88-4ed8-9a0d-3c25-51ff00ffeb03&amp;SI=SentItems&amp;SLSync=F" TargetMode="External"/><Relationship Id="rId64" Type="http://schemas.openxmlformats.org/officeDocument/2006/relationships/hyperlink" Target="https://grupoprisa-my.sharepoint.com/:p:/g/personal/juangodoy_est_caracol_com_co/IQDSWKXeDPMdS5tkug0MQFWjAUGCWwnBGQmQfJXQvj2cBNQ" TargetMode="External"/><Relationship Id="rId69" Type="http://schemas.openxmlformats.org/officeDocument/2006/relationships/hyperlink" Target="https://grupoprisa-my.sharepoint.com/:p:/g/personal/juangodoy_est_caracol_com_co/IQBV2lVvM2NXTbMe6arvJR9EAYtY8-0ngEj-YSToUieJ5h0" TargetMode="External"/><Relationship Id="rId113" Type="http://schemas.openxmlformats.org/officeDocument/2006/relationships/hyperlink" Target="https://grupoprisa-my.sharepoint.com/:v:/g/personal/juangodoy_est_caracol_com_co/IQCHP46HBZY2RZK_UyF9WG9lAdwEyCY-ovU5GdxoYAxbGKo?nav=eyJyZWZlcnJhbEluZm8iOnsicmVmZXJyYWxBcHAiOiJTdHJlYW1XZWJBcHAiLCJyZWZlcnJhbFZpZXciOiJTaGFyZURpYWxvZy1MaW5rIiwicmVmZXJyYWxBcHBQbGF0Zm9ybSI6IldlYiIsInJlZmVycmFsTW9kZSI6InZpZXcifX0%3D&amp;e=KjPix5" TargetMode="External"/><Relationship Id="rId118" Type="http://schemas.openxmlformats.org/officeDocument/2006/relationships/hyperlink" Target="https://grupoprisa-my.sharepoint.com/:p:/r/personal/nicolas_bermudez_caracol_com_co/Documents/DIGITAL/Productos%20Digitales/halloween%20LOS40.pptx?d=w97e6fcf6c4fb4c66a626173768811de6&amp;csf=1&amp;web=1&amp;e=rFDkle" TargetMode="External"/><Relationship Id="rId80" Type="http://schemas.openxmlformats.org/officeDocument/2006/relationships/hyperlink" Target="https://grupoprisa-my.sharepoint.com/:p:/r/personal/jonathanvel_est_caracol_com_co/Documents/Datos%20adjuntos/CLICK%20+%20CARACOL%20RADIO.pptx?d=w3e86ad77803a40ac851a9869c5ca187a&amp;csf=1&amp;web=1&amp;e=l76Lnu" TargetMode="External"/><Relationship Id="rId85" Type="http://schemas.openxmlformats.org/officeDocument/2006/relationships/hyperlink" Target="https://grupoprisa-my.sharepoint.com/:p:/r/personal/jonathanvel_est_caracol_com_co/Documents/Datos%20adjuntos/ALKOMPRAR%20-%20%20PRISA%20MEDIA.pptx?d=w0322efc0ce9242cfb3449ab3f4cada72&amp;csf=1&amp;web=1&amp;e=UbVNwf" TargetMode="External"/><Relationship Id="rId12" Type="http://schemas.openxmlformats.org/officeDocument/2006/relationships/hyperlink" Target="https://grupoprisa-my.sharepoint.com/:p:/r/personal/sthefanie_botello_caracol_com_co/Documents/Escritorio/Productos%20digitales/Producto_Digital-CONEXI%C3%93N%20PRISA.pptx?d=w25e67bb8ec9d449d8caff07c2e453193&amp;csf=1&amp;web=1&amp;e=ic09di" TargetMode="External"/><Relationship Id="rId17" Type="http://schemas.openxmlformats.org/officeDocument/2006/relationships/hyperlink" Target="https://grupoprisa-my.sharepoint.com/:p:/g/personal/jonathanvel_est_caracol_com_co/IQCNSNsKGd0kTom-3ayvbpD1AZPThZ5LForzsibj6Ic-zC0?e=s2wG2D" TargetMode="External"/><Relationship Id="rId33" Type="http://schemas.openxmlformats.org/officeDocument/2006/relationships/hyperlink" Target="https://grupoprisa-my.sharepoint.com/:p:/r/personal/nicolas_bermudez_caracol_com_co/Documents/DIGITAL/Productos%20Digitales/Producto_Digital_MERCADO%20LIBRE%20LIVE%20COMMERCE.pptx?d=w8172cc978cf14d129b8f5769be2e165d&amp;csf=1&amp;web=1&amp;e=337fJK" TargetMode="External"/><Relationship Id="rId38" Type="http://schemas.openxmlformats.org/officeDocument/2006/relationships/hyperlink" Target="https://grupoprisa-my.sharepoint.com/:p:/r/personal/nicolas_bermudez_caracol_com_co/Documents/DIGITAL/Productos%20Digitales/Producto%20Digital%20-%20NESTOGENO%20-%20CRECIENDO%20JUNTAS.pptx?d=w0ec2db2957324cf5a354dc026ecf45f9&amp;csf=1&amp;web=1&amp;e=xpg7Qs" TargetMode="External"/><Relationship Id="rId59" Type="http://schemas.openxmlformats.org/officeDocument/2006/relationships/hyperlink" Target="https://grupoprisa-my.sharepoint.com/:p:/r/personal/nicolas_bermudez_caracol_com_co/Documents/DIGITAL/Productos%20Digitales/Producto_Digital-TRIBUTO.pptx?d=w163e41cd53af4cdcb4c86921939e4660&amp;csf=1&amp;web=1&amp;e=Id0pYR" TargetMode="External"/><Relationship Id="rId103" Type="http://schemas.openxmlformats.org/officeDocument/2006/relationships/hyperlink" Target="https://grupoprisa-my.sharepoint.com/:p:/g/personal/jonathanvel_est_caracol_com_co/IQAEzmF09SOpS5t40XJce0D9AZl2hVFk9mxwQ5tY_p-DaqY?e=9EZWRH" TargetMode="External"/><Relationship Id="rId108" Type="http://schemas.openxmlformats.org/officeDocument/2006/relationships/hyperlink" Target="https://grupoprisa-my.sharepoint.com/:p:/g/personal/jonathanvel_est_caracol_com_co/IQCq8nxfqBeQRLr-01tbEZ53AT-PnIWzAKVYH6ChPX7rgRU?e=DvjQxZ" TargetMode="External"/><Relationship Id="rId124" Type="http://schemas.openxmlformats.org/officeDocument/2006/relationships/hyperlink" Target="https://grupoprisa-my.sharepoint.com/:p:/r/personal/juangodoy_est_caracol_com_co/Documents/Attachments/PROPUESTA%20ARQ.pptx?d=w3f4db91f9dd5435c9820548c3bfedea3&amp;csf=1&amp;web=1&amp;e=HDP77g" TargetMode="External"/><Relationship Id="rId129" Type="http://schemas.openxmlformats.org/officeDocument/2006/relationships/hyperlink" Target="https://grupoprisa-my.sharepoint.com/:p:/r/personal/nicolas_bermudez_caracol_com_co/Documents/DIGITAL/Productos%20Digitales/Reporte%20Digital%20-%20DR%20SIMI%20-%20Cap%C3%ADtulos%202026.pptx?d=w47ca201b4a3b487a96c34c6ffe729255&amp;csf=1&amp;web=1&amp;e=Dm8oy6" TargetMode="External"/><Relationship Id="rId54" Type="http://schemas.openxmlformats.org/officeDocument/2006/relationships/hyperlink" Target="https://grupoprisa-my.sharepoint.com/:p:/r/personal/nicolas_bermudez_caracol_com_co/Documents/DIGITAL/Productos%20Digitales/PRODUCTO%20DIGITAL%20-%20AMALFITANA.pptx?d=w68e54c8f800e46f8afee0110f9d3ffd5&amp;csf=1&amp;web=1&amp;e=CjbdRE" TargetMode="External"/><Relationship Id="rId70" Type="http://schemas.openxmlformats.org/officeDocument/2006/relationships/hyperlink" Target="https://grupoprisa-my.sharepoint.com/:p:/g/personal/juangodoy_est_caracol_com_co/IQDHPYK6HToBTZeIr6YijdI_ATFYXOF15iKAkYASW9lpG14" TargetMode="External"/><Relationship Id="rId75" Type="http://schemas.openxmlformats.org/officeDocument/2006/relationships/hyperlink" Target="https://grupoprisa-my.sharepoint.com/:p:/g/personal/juangodoy_est_caracol_com_co/IQBgenx7wVaETZKx1O05c59xAfDTwqRTyKtZA3cCenk4x2o" TargetMode="External"/><Relationship Id="rId91" Type="http://schemas.openxmlformats.org/officeDocument/2006/relationships/hyperlink" Target="https://grupoprisa-my.sharepoint.com/:p:/g/personal/juangodoy_est_caracol_com_co/IQC5Lq2L-EahQaYTGUiSfYjZAcOZY3ugIVEC0SuMov2GuYY" TargetMode="External"/><Relationship Id="rId96" Type="http://schemas.openxmlformats.org/officeDocument/2006/relationships/hyperlink" Target="https://grupoprisa-my.sharepoint.com/:p:/r/personal/nicolas_bermudez_caracol_com_co/Documents/DIGITAL/Productos%20Digitales/PROPUESTA%20DIGITAL%20-%20INTEL.pptx?d=w8cd06579e657467190457efdfa232995&amp;csf=1&amp;web=1&amp;e=I2XeER" TargetMode="External"/><Relationship Id="rId1" Type="http://schemas.openxmlformats.org/officeDocument/2006/relationships/hyperlink" Target="https://grupoprisa-my.sharepoint.com/:p:/r/personal/sthefanie_botello_caracol_com_co/Documents/Escritorio/Productos%20digitales/PRODUCTO%20DIGITAL%20-%20LA%20BUENA.pptx?d=wfbb30cde9e8d40cfaf6bd3cf8a188db5&amp;csf=1&amp;web=1&amp;e=mAb4Vk" TargetMode="External"/><Relationship Id="rId6" Type="http://schemas.openxmlformats.org/officeDocument/2006/relationships/hyperlink" Target="https://grupoprisa-my.sharepoint.com/:p:/r/personal/nicolas_bermudez_caracol_com_co/Documents/DIGITAL/Productos%20Digitales/FRANQUICIAS%20PRISA.pptx?d=w7ca6bbbb9fc144d090b1822bae074d33&amp;csf=1&amp;web=1&amp;e=eFFuKY" TargetMode="External"/><Relationship Id="rId23" Type="http://schemas.openxmlformats.org/officeDocument/2006/relationships/hyperlink" Target="https://grupoprisa-my.sharepoint.com/:p:/r/personal/juangodoy_est_caracol_com_co/Documents/EL%20TOUR%20DEL%20ESTILO.pptx?d=wf013ae477afa4effb5f24c9922b12bf8&amp;csf=1&amp;web=1&amp;e=y8cAMR" TargetMode="External"/><Relationship Id="rId28" Type="http://schemas.openxmlformats.org/officeDocument/2006/relationships/hyperlink" Target="https://grupoprisa-my.sharepoint.com/:p:/r/personal/sthefanie_botello_caracol_com_co/Documents/Escritorio/Productos%20digitales/PRODUCTO%20DIGITAL-LA%20RUTA%20DEL%20GOL.pptx?d=wbd9e70d7f2cc4faab1e18f7f040fcc07&amp;csf=1&amp;web=1&amp;e=5ExtJW" TargetMode="External"/><Relationship Id="rId49" Type="http://schemas.openxmlformats.org/officeDocument/2006/relationships/hyperlink" Target="https://grupoprisa-my.sharepoint.com/:p:/r/personal/nicolas_bermudez_caracol_com_co/Documents/DIGITAL/Productos%20Digitales/PROPUESTA%20UNIVERSIDAD%20DE%20CATALU%C3%91A.pptx?d=w4d2c2557e8fc41ec8fdbf8c330aafeb4&amp;csf=1&amp;web=1&amp;e=ATKA8u" TargetMode="External"/><Relationship Id="rId114" Type="http://schemas.openxmlformats.org/officeDocument/2006/relationships/hyperlink" Target="https://grupoprisa-my.sharepoint.com/:p:/g/personal/juangodoy_est_caracol_com_co/IQBB93UZVtT8RJgRLOWE2haoAQVEFcQNUz42AUcCyCprSfc?e=UnFCwc" TargetMode="External"/><Relationship Id="rId119" Type="http://schemas.openxmlformats.org/officeDocument/2006/relationships/hyperlink" Target="https://grupoprisa-my.sharepoint.com/:p:/r/personal/sthefanie_botello_caracol_com_co/Documents/Attachments/PROPUESTA%20COPA%20AIRLINES.pptx?d=w3ae14a6cdeef4ed4b96344594c640a42&amp;csf=1&amp;web=1&amp;e=VuT5V8" TargetMode="External"/><Relationship Id="rId44" Type="http://schemas.openxmlformats.org/officeDocument/2006/relationships/hyperlink" Target="https://grupoprisa-my.sharepoint.com/:p:/r/personal/jonathanvel_est_caracol_com_co/Documents/Datos%20adjuntos/ISHOP%20+%20MARATON%20DEL%20GALLO.pptx?d=wc93c8214f6e54d37a15a2a4437d7d93a&amp;csf=1&amp;web=1&amp;e=EhDTFo" TargetMode="External"/><Relationship Id="rId60" Type="http://schemas.openxmlformats.org/officeDocument/2006/relationships/hyperlink" Target="https://grupoprisa-my.sharepoint.com/:p:/r/personal/nicolas_bermudez_caracol_com_co/Documents/DIGITAL/Productos%20Digitales/PROPUESTA%20HP.pptx?d=w8dce01d439954fdeaeb2f567d8e5404a&amp;csf=1&amp;web=1&amp;e=GskOjE" TargetMode="External"/><Relationship Id="rId65" Type="http://schemas.openxmlformats.org/officeDocument/2006/relationships/hyperlink" Target="https://grupoprisa-my.sharepoint.com/:p:/g/personal/juangodoy_est_caracol_com_co/IQDDsXgYeG9_TImaUn_AKuBsASJ-LTyG6qh8P6h5USPzv2Q" TargetMode="External"/><Relationship Id="rId81" Type="http://schemas.openxmlformats.org/officeDocument/2006/relationships/hyperlink" Target="https://grupoprisa-my.sharepoint.com/:p:/r/personal/jonathanvel_est_caracol_com_co/Documents/Datos%20adjuntos/BELONG%20+%20CARACOL%20RADIO.pptx?d=w1469588182464efc92f9970683ad10a5&amp;csf=1&amp;web=1&amp;e=ili5P8" TargetMode="External"/><Relationship Id="rId86" Type="http://schemas.openxmlformats.org/officeDocument/2006/relationships/hyperlink" Target="https://grupoprisa-my.sharepoint.com/:p:/r/personal/jonathanvel_est_caracol_com_co/Documents/Datos%20adjuntos/TEATRO%20NACIONAL%20+%20RADIOACKTIVA%20+%20B%C3%89SAME%20+%20CARACOL%20RADIO.pptx?d=w7e46a3eda50e419d8d534dc79d2f02f6&amp;csf=1&amp;web=1&amp;e=2JPebW" TargetMode="External"/><Relationship Id="rId130" Type="http://schemas.openxmlformats.org/officeDocument/2006/relationships/hyperlink" Target="https://grupoprisa-my.sharepoint.com/:p:/r/personal/nicolas_bermudez_caracol_com_co/Documents/DIGITAL/Productos%20Digitales/ZURICH%20+%20CARACOL.pptx?d=w512ba32700dc4a69b388ff14eb9db6d7&amp;csf=1&amp;web=1&amp;e=Sg8InP" TargetMode="External"/><Relationship Id="rId13" Type="http://schemas.openxmlformats.org/officeDocument/2006/relationships/hyperlink" Target="https://grupoprisa-my.sharepoint.com/:p:/r/personal/nicolas_bermudez_caracol_com_co/Documents/DIGITAL/Productos%20Digitales/Agente%20CAR%20AI.pptx?d=w731ac077a167450c8b723fa68d108734&amp;csf=1&amp;web=1&amp;e=us4DoJ" TargetMode="External"/><Relationship Id="rId18" Type="http://schemas.openxmlformats.org/officeDocument/2006/relationships/hyperlink" Target="https://grupoprisa-my.sharepoint.com/:x:/r/personal/sthefanie_botello_caracol_com_co/Documents/Attachments/FUN%20-%20PROPUESTA%20DIGITAL%20-%20NESTOGENO%201.xlsx?d=w01bd3a53fb3a4f4a9d60fe4df5f14db2&amp;csf=1&amp;web=1&amp;e=TJGyKR" TargetMode="External"/><Relationship Id="rId39" Type="http://schemas.openxmlformats.org/officeDocument/2006/relationships/hyperlink" Target="https://grupoprisa-my.sharepoint.com/:p:/r/personal/nicolas_bermudez_caracol_com_co/Documents/DIGITAL/Productos%20Digitales/PRODUCTO%20DIGITAL%20-%20CERVEZA%20CORONA.pptx?d=w67d71f84ad274c92809a7e8a896612eb&amp;csf=1&amp;web=1&amp;e=iiGesd" TargetMode="External"/><Relationship Id="rId109" Type="http://schemas.openxmlformats.org/officeDocument/2006/relationships/hyperlink" Target="https://grupoprisa-my.sharepoint.com/:p:/g/personal/juangodoy_est_caracol_com_co/IQDxcoPO4jfpS5edDh86u97VAVd0VKaFZBcq9Om-tcnhrgg?e=iMxQwn" TargetMode="External"/><Relationship Id="rId34" Type="http://schemas.openxmlformats.org/officeDocument/2006/relationships/hyperlink" Target="https://grupoprisa-my.sharepoint.com/:v:/r/personal/nicolas_bermudez_caracol_com_co/Documents/DIGITAL/Productos%20Digitales/WhatsApp%20Video%202026-08-25%20at%207.48.54%20AM.mp4?d=w91298c73c13d49c395aeaae657ee0cc9&amp;csf=1&amp;web=1&amp;e=M4V7Fw&amp;nav=eyJyZWZlcnJhbEluZm8iOnsicmVmZXJyYWxBcHAiOiJTdHJlYW1XZWJBcHAiLCJyZWZlcnJhbFZpZXciOiJTaGFyZURpYWxvZy1MaW5rIiwicmVmZXJyYWxBcHBQbGF0Zm9ybSI6IldlYiIsInJlZmVycmFsTW9kZSI6InZpZXcifX0%3D" TargetMode="External"/><Relationship Id="rId50" Type="http://schemas.openxmlformats.org/officeDocument/2006/relationships/hyperlink" Target="https://grupoprisa-my.sharepoint.com/:p:/r/personal/jonathanvel_est_caracol_com_co/Documents/Datos%20adjuntos/AR%20CONSTRUCCIONES%20+%20PRISA%20MEDIA.pptx?d=w0c689e9acb474b6895f06efb9e6ebe9c&amp;csf=1&amp;web=1&amp;e=2y2enR" TargetMode="External"/><Relationship Id="rId55" Type="http://schemas.openxmlformats.org/officeDocument/2006/relationships/hyperlink" Target="https://grupoprisa-my.sharepoint.com/:b:/r/personal/nicolas_bermudez_caracol_com_co/Documents/DIGITAL/Productos%20Digitales/La%20Ruta%20del%20Gol.pdf?d=w31449d3cbacb481c9faf80048267bedb&amp;csf=1&amp;web=1&amp;e=PTSugr" TargetMode="External"/><Relationship Id="rId76" Type="http://schemas.openxmlformats.org/officeDocument/2006/relationships/hyperlink" Target="https://grupoprisa-my.sharepoint.com/:p:/g/personal/juangodoy_est_caracol_com_co/IQA-xkuln8tHT68mSi6bkdVSAd5xs5GFxUxmBy4cGEyeXLg" TargetMode="External"/><Relationship Id="rId97" Type="http://schemas.openxmlformats.org/officeDocument/2006/relationships/hyperlink" Target="https://grupoprisa-my.sharepoint.com/:p:/r/personal/juangodoy_est_caracol_com_co/Documents/Attachments/PROPUESTA%20CONSTRUCTORA%20BOLIVAR.pptx?d=w65e3caf16be8490d86037d86e5941d8d&amp;csf=1&amp;web=1&amp;e=fAKbGN" TargetMode="External"/><Relationship Id="rId104" Type="http://schemas.openxmlformats.org/officeDocument/2006/relationships/hyperlink" Target="https://grupoprisa-my.sharepoint.com/:p:/g/personal/jonathanvel_est_caracol_com_co/IQDkALcde5A9SIp5rR9fo9TYAe-oYU88jqtS-UoGu6Ton14?e=dwz584" TargetMode="External"/><Relationship Id="rId120" Type="http://schemas.openxmlformats.org/officeDocument/2006/relationships/hyperlink" Target="https://grupoprisa-my.sharepoint.com/:p:/r/personal/nicolas_bermudez_caracol_com_co/Documents/DIGITAL/Productos%20Digitales/Presentaci%C3%B3n%20Escape%20Game%20-%20Fontanar.pptx?d=w83e1ed9dff2140399e667973fbc75511&amp;csf=1&amp;web=1&amp;e=wvBtd1" TargetMode="External"/><Relationship Id="rId125" Type="http://schemas.openxmlformats.org/officeDocument/2006/relationships/hyperlink" Target="https://grupoprisa-my.sharepoint.com/:p:/r/personal/nicolas_bermudez_caracol_com_co/Documents/DIGITAL/Productos%20Digitales/PROPUESTA%20DIGITAL%20-%20AUTECO%20EN%20MOVIMIENTO.pptx?d=w6dcb976cf9a643d28fea24ae3a50c984&amp;csf=1&amp;web=1&amp;e=KkBjTI" TargetMode="External"/><Relationship Id="rId7" Type="http://schemas.openxmlformats.org/officeDocument/2006/relationships/hyperlink" Target="https://grupoprisa-my.sharepoint.com/:p:/r/personal/nicolas_bermudez_caracol_com_co/Documents/DIGITAL/Productos%20Digitales/PRODUCTO%20DIGITAL-ELECCIONES%202026.pptx?d=wa0a398c95b3348fcb6ff7c7331192b98&amp;csf=1&amp;web=1&amp;e=5RyiqJ" TargetMode="External"/><Relationship Id="rId71" Type="http://schemas.openxmlformats.org/officeDocument/2006/relationships/hyperlink" Target="https://grupoprisa-my.sharepoint.com/:p:/g/personal/juangodoy_est_caracol_com_co/IQB0CKVy2Hf-Rog31SUnwrBhAdgYEabMNfTNwbyj6HFpHvY" TargetMode="External"/><Relationship Id="rId92" Type="http://schemas.openxmlformats.org/officeDocument/2006/relationships/hyperlink" Target="https://grupoprisa-my.sharepoint.com/:p:/g/personal/juangodoy_est_caracol_com_co/IQAfrpXpHQ7FToOExeVBEX_9AQ9Z-3qSYLBWJ_J5THSupr4" TargetMode="External"/><Relationship Id="rId2" Type="http://schemas.openxmlformats.org/officeDocument/2006/relationships/hyperlink" Target="https://grupoprisa-my.sharepoint.com/:p:/r/personal/sthefanie_botello_caracol_com_co/Documents/Escritorio/Productos%20digitales/PRODUCTO%20DIGITAL-FRANQUICIAS-M%C3%9ASICA%20EN%20MOVIMIENTO.pptx?d=w4d85c2041963407f8b071f9ae36c644b&amp;csf=1&amp;web=1&amp;e=AHSuEs" TargetMode="External"/><Relationship Id="rId29" Type="http://schemas.openxmlformats.org/officeDocument/2006/relationships/hyperlink" Target="https://grupoprisa-my.sharepoint.com/:p:/r/personal/juangodoy_est_caracol_com_co/Documents/PROPUESTAS%20ELABORADAS%20JUAN%20PABLO%20GODOY/PRODUCTO%20DIGITAL%20DISTOYOTA.pptx?d=w3a07582c984d42f8ac91d084458ee283&amp;csf=1&amp;web=1&amp;e=L9aBVQ" TargetMode="External"/><Relationship Id="rId24" Type="http://schemas.openxmlformats.org/officeDocument/2006/relationships/hyperlink" Target="https://grupoprisa-my.sharepoint.com/:p:/r/personal/juangodoy_est_caracol_com_co/Documents/Attachments/PROPUESTA%20ADIDAS.pptx?d=w1ec839ae925a4a95aef2477dd997afc1&amp;csf=1&amp;web=1&amp;e=W7WesK" TargetMode="External"/><Relationship Id="rId40" Type="http://schemas.openxmlformats.org/officeDocument/2006/relationships/hyperlink" Target="https://grupoprisa-my.sharepoint.com/:p:/r/personal/nicolas_bermudez_caracol_com_co/Documents/DIGITAL/Productos%20Digitales/21-Producto_Digital_ECOSISTEMA-WHATSAPP.pptx?d=wfe907c9ed6394f5aa676f5c16a465b16&amp;csf=1&amp;web=1&amp;e=FI3HNw" TargetMode="External"/><Relationship Id="rId45" Type="http://schemas.openxmlformats.org/officeDocument/2006/relationships/hyperlink" Target="https://grupoprisa-my.sharepoint.com/:p:/r/personal/sthefanie_botello_caracol_com_co/Documents/Escritorio/Productos%20digitales/Producto_Digital-CONDUCE%20EL%20FUTURO-%20GAC.pptx?d=w90329673f0a447f780e244d58e2c9f95&amp;csf=1&amp;web=1&amp;e=9F4eB5" TargetMode="External"/><Relationship Id="rId66" Type="http://schemas.openxmlformats.org/officeDocument/2006/relationships/hyperlink" Target="https://grupoprisa-my.sharepoint.com/:p:/g/personal/juangodoy_est_caracol_com_co/IQAuRQ4M4MybSKdmulQHytkvAdgW78pcdvX9Moj25CNSZUU" TargetMode="External"/><Relationship Id="rId87" Type="http://schemas.openxmlformats.org/officeDocument/2006/relationships/hyperlink" Target="https://grupoprisa-my.sharepoint.com/:p:/g/personal/juangodoy_est_caracol_com_co/IQDhfZd5k4OfRq1X2d1CwohFAQyOOWN_fe9BB3x4PBalwv0" TargetMode="External"/><Relationship Id="rId110" Type="http://schemas.openxmlformats.org/officeDocument/2006/relationships/hyperlink" Target="https://grupoprisa-my.sharepoint.com/:p:/g/personal/juangodoy_est_caracol_com_co/IQAZiGv6s-qwRZPi_NrSHCqJAeTMvLttCy_oGTCs1eVlQPo?e=7Ro3Xf" TargetMode="External"/><Relationship Id="rId115" Type="http://schemas.openxmlformats.org/officeDocument/2006/relationships/hyperlink" Target="https://grupoprisa-my.sharepoint.com/:p:/g/personal/juangodoy_est_caracol_com_co/IQDlZXWDbdJsQaNBsXpqMQbWAQKeryAwM2C0DXYf29eDI6I?e=BToWTJ" TargetMode="External"/><Relationship Id="rId131" Type="http://schemas.openxmlformats.org/officeDocument/2006/relationships/hyperlink" Target="https://grupoprisa-my.sharepoint.com/:p:/r/personal/jonathanvel_est_caracol_com_co/Documents/Datos%20adjuntos/dale!%20+%20Radioactiva.pptx?d=w949fc6d8a0e94c2faeb41ff8bdb96948&amp;csf=1&amp;web=1&amp;e=qQCWKK" TargetMode="External"/><Relationship Id="rId61" Type="http://schemas.openxmlformats.org/officeDocument/2006/relationships/hyperlink" Target="https://grupoprisa-my.sharepoint.com/:p:/g/personal/juangodoy_est_caracol_com_co/IQAQHCjHLHXeQpGijneN_H5lActlHYQNn5Jhxg8oQL12bn8%20%20%20%20%20%20%20%20%20%20%20%20%20%20%20%20%20%20%20%20%20%20%20%20%20%20https:/grupoprisa-my.sharepoint.com/:p:/g/personal/juangodoy_est_caracol_com_co/IQCZl1yA5ZmPS7yCUZS3T5--AeQJKQE2dQZJJX-atpvHzDg" TargetMode="External"/><Relationship Id="rId82" Type="http://schemas.openxmlformats.org/officeDocument/2006/relationships/hyperlink" Target="https://grupoprisa-my.sharepoint.com/:p:/r/personal/jonathanvel_est_caracol_com_co/Documents/Datos%20adjuntos/RUSHBET%20+%20AS.pptx?d=wca3d2b11afe448678ef8fdc8b5fd9ce7&amp;csf=1&amp;web=1&amp;e=IsBqMg" TargetMode="External"/><Relationship Id="rId19" Type="http://schemas.openxmlformats.org/officeDocument/2006/relationships/hyperlink" Target="https://grupoprisa-my.sharepoint.com/:p:/r/personal/sthefanie_botello_caracol_com_co/Documents/Attachments/CASA%20LUKER%20+%20TROPICANA.pptx?d=w84f9504d1dd94ad5a836ba08730da88c&amp;csf=1&amp;web=1&amp;e=GWbodN" TargetMode="External"/><Relationship Id="rId14" Type="http://schemas.openxmlformats.org/officeDocument/2006/relationships/hyperlink" Target="https://grupoprisa-my.sharepoint.com/:p:/r/personal/nicolas_bermudez_caracol_com_co/Documents/DIGITAL/Productos%20Digitales/SHOPPABLE%20CON%20DATA.pptx?d=w15cbbef44265446fbab3884e57d92bf6&amp;csf=1&amp;web=1&amp;e=1lXJsV" TargetMode="External"/><Relationship Id="rId30" Type="http://schemas.openxmlformats.org/officeDocument/2006/relationships/hyperlink" Target="https://grupoprisa-my.sharepoint.com/:p:/r/personal/nicolas_bermudez_caracol_com_co/Documents/DIGITAL/Productos%20Digitales/Producto_Digital_EN%20EQUILIBRIO.pptx?d=wb1819d1c0ebe4d3784407122ba91d6bf&amp;csf=1&amp;web=1&amp;e=zOHsh7" TargetMode="External"/><Relationship Id="rId35" Type="http://schemas.openxmlformats.org/officeDocument/2006/relationships/hyperlink" Target="https://grupoprisa-my.sharepoint.com/:p:/r/personal/nicolas_bermudez_caracol_com_co/Documents/DIGITAL/Productos%20Digitales/Producto_Digital-La%20prote%C3%ADna%20que%20une%20a%20Colombia-%20FENAVI.pptx?d=wc86eed22e520416c9b5d8fca90f4b72d&amp;csf=1&amp;web=1&amp;e=56gj6k" TargetMode="External"/><Relationship Id="rId56" Type="http://schemas.openxmlformats.org/officeDocument/2006/relationships/hyperlink" Target="https://grupoprisa-my.sharepoint.com/:b:/r/personal/nicolas_bermudez_caracol_com_co/Documents/DIGITAL/Productos%20Digitales/La%20Ruta%20del%20Gol.pdf?d=w31449d3cbacb481c9faf80048267bedb&amp;csf=1&amp;web=1&amp;e=PTSugr" TargetMode="External"/><Relationship Id="rId77" Type="http://schemas.openxmlformats.org/officeDocument/2006/relationships/hyperlink" Target="https://grupoprisa-my.sharepoint.com/:p:/g/personal/juangodoy_est_caracol_com_co/IQBm7-4y6-pxTbZMFVPAMnoRAcD-ZQTDarxFUFTGwNj4DGk" TargetMode="External"/><Relationship Id="rId100" Type="http://schemas.openxmlformats.org/officeDocument/2006/relationships/hyperlink" Target="https://grupoprisa-my.sharepoint.com/:p:/g/personal/jonathanvel_est_caracol_com_co/IQACgNe6PpdzRrCpB_DJtu8pATy9vNH0vpm2uBi_ELlubzc?e=6oYTwW" TargetMode="External"/><Relationship Id="rId105" Type="http://schemas.openxmlformats.org/officeDocument/2006/relationships/hyperlink" Target="https://grupoprisa-my.sharepoint.com/:p:/r/personal/nicolas_bermudez_caracol_com_co/Documents/DIGITAL/Productos%20Digitales/PROPUESTA%20PLUXEE.pptx?d=w7d645b781a8c42b48b8df6970be97fb1&amp;csf=1&amp;web=1&amp;e=1s0RLr" TargetMode="External"/><Relationship Id="rId126" Type="http://schemas.openxmlformats.org/officeDocument/2006/relationships/hyperlink" Target="https://grupoprisa-my.sharepoint.com/:p:/r/personal/jonathanvel_est_caracol_com_co/Documents/Datos%20adjuntos/BETPLAY%20+%20RADIOACTIVA.pptx?d=w3b6d0a61b338482cba01655351a77c6f&amp;csf=1&amp;web=1&amp;e=jYvwGX" TargetMode="External"/><Relationship Id="rId8" Type="http://schemas.openxmlformats.org/officeDocument/2006/relationships/hyperlink" Target="https://grupoprisa-my.sharepoint.com/:p:/r/personal/nicolas_bermudez_caracol_com_co/Documents/DIGITAL/Productos%20Digitales/Producto_Digital_FRANQUICIA%20MUNDIALISTA.pptx?d=w36c7626569ee4ab682c5477223cd13d9&amp;csf=1&amp;web=1&amp;e=r1BjwX" TargetMode="External"/><Relationship Id="rId51" Type="http://schemas.openxmlformats.org/officeDocument/2006/relationships/hyperlink" Target="https://grupoprisa-my.sharepoint.com/:p:/g/personal/jonathanvel_est_caracol_com_co/IQBZ63Zp016vS7uXYbCF8tSOAfckY2jRmRs0k7-EnTR4YWo?e=u3XudK" TargetMode="External"/><Relationship Id="rId72" Type="http://schemas.openxmlformats.org/officeDocument/2006/relationships/hyperlink" Target="https://grupoprisa-my.sharepoint.com/:p:/g/personal/juangodoy_est_caracol_com_co/IQBTmUpdxx02Q5wEfD6ZyuEoAfPAKsNWYLaFXST2CakjrQw" TargetMode="External"/><Relationship Id="rId93" Type="http://schemas.openxmlformats.org/officeDocument/2006/relationships/hyperlink" Target="https://grupoprisa-my.sharepoint.com/:x:/g/personal/juangodoy_est_caracol_com_co/IQC7dEXj8QFGRaf0N_eq9jd3AYD5rr7Fs5QFXt3K_0MCVOk?e=Fxaikd" TargetMode="External"/><Relationship Id="rId98" Type="http://schemas.openxmlformats.org/officeDocument/2006/relationships/hyperlink" Target="https://grupoprisa-my.sharepoint.com/:p:/g/personal/juangodoy_est_caracol_com_co/IQBELWKX0c5rQ4_2_3RiWptXAbzRD97wy3gy4dMtOdcqudA?e=9xA7dB" TargetMode="External"/><Relationship Id="rId121" Type="http://schemas.openxmlformats.org/officeDocument/2006/relationships/hyperlink" Target="https://grupoprisa-my.sharepoint.com/:p:/r/personal/nicolas_bermudez_caracol_com_co/Documents/DIGITAL/Productos%20Digitales/EASY%20MARATON%20DEL%20GALLO%20(1).pptx?d=wf28573c7f8a94c71ba8b9254e800f18a&amp;csf=1&amp;web=1&amp;e=PcWUbC" TargetMode="External"/><Relationship Id="rId3" Type="http://schemas.openxmlformats.org/officeDocument/2006/relationships/hyperlink" Target="https://grupoprisa-my.sharepoint.com/:p:/r/personal/sthefanie_botello_caracol_com_co/Documents/Escritorio/Productos%20digitales/PRODUCTO%20DIGITAL-DEL%20PLAY%20AL%20SHOW.pptx?d=w5fac09fe43e34ea7b432844787f5678b&amp;csf=1&amp;web=1&amp;e=Ef4hg2" TargetMode="External"/><Relationship Id="rId25" Type="http://schemas.openxmlformats.org/officeDocument/2006/relationships/hyperlink" Target="https://grupoprisa-my.sharepoint.com/:p:/r/personal/juangodoy_est_caracol_com_co/Documents/Attachments/PROPUESTA%20COMERCIAL%20HONOR.pptx?d=w9b49ccbc7cb64383957d69d046a07fc3&amp;csf=1&amp;web=1&amp;e=YGnjWK" TargetMode="External"/><Relationship Id="rId46" Type="http://schemas.openxmlformats.org/officeDocument/2006/relationships/hyperlink" Target="https://grupoprisa-my.sharepoint.com/:p:/r/personal/juangodoy_est_caracol_com_co/Documents/Attachments/PROPUESTA%20HALEON.pptx?d=wea3c596aab5c40f4b1264d745347de67&amp;csf=1&amp;web=1&amp;e=aGJ5dM" TargetMode="External"/><Relationship Id="rId67" Type="http://schemas.openxmlformats.org/officeDocument/2006/relationships/hyperlink" Target="https://grupoprisa-my.sharepoint.com/:p:/g/personal/juangodoy_est_caracol_com_co/IQCvZTmvR_RlQLedDnW4fsloATxFmTeNWcAtMsTUU7NKz2A" TargetMode="External"/><Relationship Id="rId116" Type="http://schemas.openxmlformats.org/officeDocument/2006/relationships/hyperlink" Target="https://grupoprisa-my.sharepoint.com/:p:/r/personal/nicolas_bermudez_caracol_com_co/Documents/DIGITAL/Productos%20Digitales/PROPUESTA%20NAVIDE%C3%91A%20-%20SANTA%20IA.pptx?d=wffa1e02a2a9d42a8a053c7f0fc0eb041&amp;csf=1&amp;web=1&amp;e=UNscxB" TargetMode="External"/><Relationship Id="rId20" Type="http://schemas.openxmlformats.org/officeDocument/2006/relationships/hyperlink" Target="https://grupoprisa-my.sharepoint.com/:p:/r/personal/jonathanvel_est_caracol_com_co/Documents/Datos%20adjuntos/ALQUERIA%20+%20TROPICANA.pptx?d=w492b57ec188744a5810a9db6e9c5b7a5&amp;csf=1&amp;web=1&amp;e=wSczfy" TargetMode="External"/><Relationship Id="rId41" Type="http://schemas.openxmlformats.org/officeDocument/2006/relationships/hyperlink" Target="https://grupoprisa-my.sharepoint.com/:p:/r/personal/nicolas_bermudez_caracol_com_co/Documents/DIGITAL/Productos%20Digitales/PROPUESTA%20PARAMO%20PRESENTA.pptx?d=wff3779aa17ab46bb9411ce28b813d033&amp;csf=1&amp;web=1&amp;e=YEErhn" TargetMode="External"/><Relationship Id="rId62" Type="http://schemas.openxmlformats.org/officeDocument/2006/relationships/hyperlink" Target="https://grupoprisa-my.sharepoint.com/:p:/r/personal/nicolas_bermudez_caracol_com_co/Documents/DIGITAL/Productos%20Digitales/Presentaci%C3%B3n%20Escape%20Game%20-%20Fontanar.pptx?d=w83e1ed9dff2140399e667973fbc75511&amp;csf=1&amp;web=1&amp;e=OwlmN8" TargetMode="External"/><Relationship Id="rId83" Type="http://schemas.openxmlformats.org/officeDocument/2006/relationships/hyperlink" Target="https://grupoprisa-my.sharepoint.com/:p:/r/personal/jonathanvel_est_caracol_com_co/Documents/Datos%20adjuntos/KALLEY%20+%20BESAME.pptx?d=w53fba932eb9948eaab40b6c1b9c24f12&amp;csf=1&amp;web=1&amp;e=WrYv0x" TargetMode="External"/><Relationship Id="rId88" Type="http://schemas.openxmlformats.org/officeDocument/2006/relationships/hyperlink" Target="https://grupoprisa-my.sharepoint.com/:p:/g/personal/juangodoy_est_caracol_com_co/IQBb6K_mtfKBTL6Ihx0U1t35AX4otYjqeiQUDOa0Uc09Axk" TargetMode="External"/><Relationship Id="rId111" Type="http://schemas.openxmlformats.org/officeDocument/2006/relationships/hyperlink" Target="https://grupoprisa-my.sharepoint.com/:p:/g/personal/juangodoy_est_caracol_com_co/IQCj2CsmvVYPQbwEFnFSBcmAAco94eIF3h_E_nB3sVXtm70?e=ru2EIO" TargetMode="External"/><Relationship Id="rId132" Type="http://schemas.openxmlformats.org/officeDocument/2006/relationships/hyperlink" Target="https://grupoprisa-my.sharepoint.com/:p:/r/personal/juangodoy_est_caracol_com_co/Documents/Attachments/AVIATUR%20PROPUESTA%20FINAL%202.pptx?d=w94e7b777a5b84f6591a0bd0315347604&amp;csf=1&amp;web=1&amp;e=5xgmXD" TargetMode="External"/><Relationship Id="rId15" Type="http://schemas.openxmlformats.org/officeDocument/2006/relationships/hyperlink" Target="https://grupoprisa-my.sharepoint.com/:p:/g/personal/juangodoy_est_caracol_com_co/IQCYkmJrdbInS4u8M93JA0qcAZGDL-39y8dP9-zxG8YRQ3k" TargetMode="External"/><Relationship Id="rId36" Type="http://schemas.openxmlformats.org/officeDocument/2006/relationships/hyperlink" Target="https://grupoprisa-my.sharepoint.com/:p:/r/personal/sthefanie_botello_caracol_com_co/Documents/Attachments/PRODUCTO%20DIGITAL%20-%20FUTURO%20GLOBAL%201.pptx?d=w7d082ba591954794a4853f011ef225b1&amp;csf=1&amp;web=1&amp;e=NJDyYh" TargetMode="External"/><Relationship Id="rId57" Type="http://schemas.openxmlformats.org/officeDocument/2006/relationships/hyperlink" Target="https://grupoprisa-my.sharepoint.com/:p:/g/personal/jonathanvel_est_caracol_com_co/IQCJ5eFWjit3QYsHau7udW9ZAYeTDm3mQYlD1y8xI1dtC04?e=aSYvaJ" TargetMode="External"/><Relationship Id="rId106" Type="http://schemas.openxmlformats.org/officeDocument/2006/relationships/hyperlink" Target="https://grupoprisa-my.sharepoint.com/:p:/r/personal/nicolas_bermudez_caracol_com_co/Documents/DIGITAL/Productos%20Digitales/PROPUESTA%20VIVEMAX.pptx?d=w642e33042753486e97a23377c9cbd15c&amp;csf=1&amp;web=1&amp;e=6fU0xc" TargetMode="External"/><Relationship Id="rId127" Type="http://schemas.openxmlformats.org/officeDocument/2006/relationships/hyperlink" Target="https://grupoprisa-my.sharepoint.com/:p:/r/personal/jonathanvel_est_caracol_com_co/Documents/Datos%20adjuntos/BETPLAY%20+%20RADIOACTIVA.pptx?d=w3b6d0a61b338482cba01655351a77c6f&amp;csf=1&amp;web=1&amp;e=jYvwGX" TargetMode="External"/><Relationship Id="rId10" Type="http://schemas.openxmlformats.org/officeDocument/2006/relationships/hyperlink" Target="https://grupoprisa-my.sharepoint.com/:p:/r/personal/nicolas_bermudez_caracol_com_co/Documents/DIGITAL/Productos%20Digitales/Producto_Digital_LIVING%20EXPERIENCE.pptx?d=w03c474b901ac4050a6c4f2be72738ad8&amp;csf=1&amp;web=1&amp;e=5vDbNJ" TargetMode="External"/><Relationship Id="rId31" Type="http://schemas.openxmlformats.org/officeDocument/2006/relationships/hyperlink" Target="https://grupoprisa-my.sharepoint.com/:p:/r/personal/nicolas_bermudez_caracol_com_co/Documents/DIGITAL/Productos%20Digitales/Producto_Digital-LA%20GRAN%20FIESTA%20DEL%20FESTIVERSARIO.pptx?d=w5ca56b07ff3b4813a1a4b3145c606e4d&amp;csf=1&amp;web=1&amp;e=2oCjaw" TargetMode="External"/><Relationship Id="rId52" Type="http://schemas.openxmlformats.org/officeDocument/2006/relationships/hyperlink" Target="https://grupoprisa-my.sharepoint.com/:p:/g/personal/jonathanvel_est_caracol_com_co/IQA9v97T5zv8SI81xWunnMG2ATW_f-TU0y_cVw8cNKCtpjs?e=ObtWH4" TargetMode="External"/><Relationship Id="rId73" Type="http://schemas.openxmlformats.org/officeDocument/2006/relationships/hyperlink" Target="https://grupoprisa-my.sharepoint.com/:p:/g/personal/juangodoy_est_caracol_com_co/IQCGhLx5YlduTqJn4i-mrahIAXd_c32-9RURQLfTRVVziwA" TargetMode="External"/><Relationship Id="rId78" Type="http://schemas.openxmlformats.org/officeDocument/2006/relationships/hyperlink" Target="https://grupoprisa-my.sharepoint.com/:p:/r/personal/jonathanvel_est_caracol_com_co/Documents/Datos%20adjuntos/CAJAR%20+%20LOS%2040%20+%20TROPICANA%20+%20CARACOL.pptx?d=w080c4fd202ee48828d5b607bb1960420&amp;csf=1&amp;web=1&amp;e=LT5RUn" TargetMode="External"/><Relationship Id="rId94" Type="http://schemas.openxmlformats.org/officeDocument/2006/relationships/hyperlink" Target="https://grupoprisa-my.sharepoint.com/:p:/g/personal/juangodoy_est_caracol_com_co/IQDSJfomfIJgT7KLftXlzBQDAY2jMnJ12WAsTCMAuFQEmw8" TargetMode="External"/><Relationship Id="rId99" Type="http://schemas.openxmlformats.org/officeDocument/2006/relationships/hyperlink" Target="https://grupoprisa-my.sharepoint.com/:p:/g/personal/juangodoy_est_caracol_com_co/IQAix-tQroTBTL4cdvAaimREAR4eRK0dlZAhx6QwKz1ajPM?e=dafjIg" TargetMode="External"/><Relationship Id="rId101" Type="http://schemas.openxmlformats.org/officeDocument/2006/relationships/hyperlink" Target="https://grupoprisa-my.sharepoint.com/:p:/g/personal/jonathanvel_est_caracol_com_co/IQAEzmF09SOpS5t40XJce0D9AZl2hVFk9mxwQ5tY_p-DaqY?e=9EZWRH" TargetMode="External"/><Relationship Id="rId122" Type="http://schemas.openxmlformats.org/officeDocument/2006/relationships/hyperlink" Target="https://grupoprisa-my.sharepoint.com/:p:/r/personal/nicolas_bermudez_caracol_com_co/Documents/DIGITAL/Productos%20Digitales/PROPUESTA%20DIGITAL%20-%20EAN%20MATCH.pptx?d=wb41e1e4d48e14e08a292f0a1049b55a7&amp;csf=1&amp;web=1&amp;e=PXwfcr" TargetMode="External"/><Relationship Id="rId4" Type="http://schemas.openxmlformats.org/officeDocument/2006/relationships/hyperlink" Target="https://grupoprisa-my.sharepoint.com/:p:/r/personal/nicolas_bermudez_caracol_com_co/Documents/DIGITAL/Productos%20Digitales/PRODUCTO%20DIGITAL-LA%20RUTA%20DEL%20GOL.pptx?d=w32d42fec2b514590bae84a5e970e8272&amp;csf=1&amp;web=1&amp;e=KQiV6K" TargetMode="External"/><Relationship Id="rId9" Type="http://schemas.openxmlformats.org/officeDocument/2006/relationships/hyperlink" Target="https://grupoprisa-my.sharepoint.com/:p:/r/personal/nicolas_bermudez_caracol_com_co/Documents/DIGITAL/Productos%20Digitales/Producto_Digital_Universo%20Beauty.pptx?d=w3178e7a4549a46dc893564d4ae51bcf0&amp;csf=1&amp;web=1&amp;e=rr5HPV" TargetMode="External"/><Relationship Id="rId26" Type="http://schemas.openxmlformats.org/officeDocument/2006/relationships/hyperlink" Target="https://grupoprisa-my.sharepoint.com/:p:/r/personal/juangodoy_est_caracol_com_co/Documents/Attachments/PROPUESTA%20NIKE.pptx?d=w154211e9c50f4043abe0794d8da6eb65&amp;csf=1&amp;web=1&amp;e=fiGW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workbookViewId="0">
      <selection activeCell="A2" sqref="A2"/>
    </sheetView>
  </sheetViews>
  <sheetFormatPr defaultColWidth="9.28515625" defaultRowHeight="15"/>
  <cols>
    <col min="1" max="1" width="8.140625" bestFit="1" customWidth="1"/>
    <col min="2" max="2" width="19.140625" bestFit="1" customWidth="1"/>
    <col min="3" max="3" width="8.42578125" bestFit="1" customWidth="1"/>
    <col min="4" max="4" width="16.28515625" bestFit="1" customWidth="1"/>
    <col min="5" max="7" width="13" bestFit="1" customWidth="1"/>
    <col min="8" max="8" width="18" bestFit="1" customWidth="1"/>
    <col min="9" max="9" width="15" bestFit="1" customWidth="1"/>
    <col min="10" max="10" width="18" bestFit="1" customWidth="1"/>
    <col min="11" max="11" width="15" bestFit="1" customWidth="1"/>
    <col min="12" max="12" width="18" bestFit="1" customWidth="1"/>
    <col min="13" max="13" width="15" bestFit="1" customWidth="1"/>
    <col min="14" max="14" width="14.42578125" bestFit="1" customWidth="1"/>
    <col min="15" max="15" width="8.140625" bestFit="1" customWidth="1"/>
    <col min="16" max="16" width="6.85546875" bestFit="1" customWidth="1"/>
    <col min="17" max="17" width="11" bestFit="1" customWidth="1"/>
    <col min="18" max="18" width="14.140625" bestFit="1" customWidth="1"/>
    <col min="19" max="19" width="4.85546875" bestFit="1" customWidth="1"/>
    <col min="20" max="20" width="17.42578125" bestFit="1" customWidth="1"/>
    <col min="21" max="21" width="18.85546875" bestFit="1" customWidth="1"/>
    <col min="22" max="22" width="22.5703125" bestFit="1" customWidth="1"/>
    <col min="23" max="23" width="23.7109375" bestFit="1" customWidth="1"/>
    <col min="24" max="24" width="28.140625" bestFit="1" customWidth="1"/>
    <col min="25" max="25" width="18" customWidth="1"/>
  </cols>
  <sheetData>
    <row r="1" spans="1:25" s="1" customFormat="1" ht="27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inlineStr">
        <is>
          <t>RUBRO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D003-436E-405E-A6ED-DEDD736FB953}">
  <dimension ref="A1:Z133"/>
  <sheetViews>
    <sheetView tabSelected="1" topLeftCell="T1" workbookViewId="0">
      <selection activeCell="X6" sqref="X6"/>
    </sheetView>
  </sheetViews>
  <sheetFormatPr defaultColWidth="21.140625" defaultRowHeight="13.5"/>
  <cols>
    <col min="1" max="4" width="21.140625" style="10"/>
    <col min="5" max="6" width="21.140625" style="28"/>
    <col min="7" max="16" width="21.140625" style="10"/>
    <col min="17" max="18" width="21.140625" style="29"/>
    <col min="19" max="16384" width="21.140625" style="10"/>
  </cols>
  <sheetData>
    <row r="1" spans="1:26" s="4" customFormat="1" ht="25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inlineStr">
        <is>
          <t>RUBRO</t>
        </is>
      </c>
      <c r="W1" s="31" t="s">
        <v>24</v>
      </c>
      <c r="X1" s="32" t="s">
        <v>25</v>
      </c>
    </row>
    <row r="2" spans="1:26" ht="49.5">
      <c r="A2" s="5" t="s">
        <v>26</v>
      </c>
      <c r="B2" s="5" t="s">
        <v>26</v>
      </c>
      <c r="C2" s="5" t="s">
        <v>27</v>
      </c>
      <c r="D2" s="6">
        <v>10000000</v>
      </c>
      <c r="E2" s="5" t="s">
        <v>28</v>
      </c>
      <c r="F2" s="5" t="s">
        <v>29</v>
      </c>
      <c r="G2" s="7">
        <v>100</v>
      </c>
      <c r="H2" s="5" t="s">
        <v>30</v>
      </c>
      <c r="I2" s="7">
        <v>100</v>
      </c>
      <c r="J2" s="5" t="s">
        <v>31</v>
      </c>
      <c r="K2" s="7">
        <v>50</v>
      </c>
      <c r="L2" s="5" t="s">
        <v>32</v>
      </c>
      <c r="M2" s="5" t="str">
        <f>A2&amp;"|"&amp;L2</f>
        <v>ALIANZAS|En seguimiento</v>
      </c>
      <c r="N2" s="5" t="s">
        <v>33</v>
      </c>
      <c r="O2" s="5" t="str">
        <f>B2</f>
        <v>ALIANZAS</v>
      </c>
      <c r="P2" s="5" t="s">
        <v>34</v>
      </c>
      <c r="Q2" s="8">
        <v>46176</v>
      </c>
      <c r="R2" s="8">
        <v>46176</v>
      </c>
      <c r="S2" s="9" t="s">
        <v>35</v>
      </c>
      <c r="T2" s="6">
        <v>10000000</v>
      </c>
      <c r="U2" s="5" t="s">
        <v>36</v>
      </c>
      <c r="V2" s="5" t="inlineStr">
        <is>
          <t>Entretenimiento</t>
        </is>
      </c>
      <c r="W2" s="35">
        <f>COUNTIF(L2:L133,"Cerrada")</f>
        <v>15</v>
      </c>
      <c r="X2" s="37">
        <f>SUMIF(L2:L133,"Cerrada",T2:T133)</f>
        <v>757643762</v>
      </c>
    </row>
    <row r="3" spans="1:26" ht="36.75">
      <c r="A3" s="5" t="s">
        <v>26</v>
      </c>
      <c r="B3" s="5" t="s">
        <v>26</v>
      </c>
      <c r="C3" s="5" t="s">
        <v>37</v>
      </c>
      <c r="D3" s="6">
        <v>10000000</v>
      </c>
      <c r="E3" s="5" t="s">
        <v>38</v>
      </c>
      <c r="F3" s="5" t="s">
        <v>29</v>
      </c>
      <c r="G3" s="7">
        <v>100</v>
      </c>
      <c r="H3" s="5" t="s">
        <v>30</v>
      </c>
      <c r="I3" s="7">
        <v>100</v>
      </c>
      <c r="J3" s="5" t="s">
        <v>31</v>
      </c>
      <c r="K3" s="7">
        <v>50</v>
      </c>
      <c r="L3" s="5" t="s">
        <v>32</v>
      </c>
      <c r="M3" s="5" t="str">
        <f>A3&amp;"|"&amp;L3</f>
        <v>ALIANZAS|En seguimiento</v>
      </c>
      <c r="N3" s="5" t="s">
        <v>33</v>
      </c>
      <c r="O3" s="5" t="str">
        <f t="shared" ref="O3:O66" si="0">B3</f>
        <v>ALIANZAS</v>
      </c>
      <c r="P3" s="5" t="s">
        <v>34</v>
      </c>
      <c r="Q3" s="8">
        <v>46176</v>
      </c>
      <c r="R3" s="8">
        <v>46176</v>
      </c>
      <c r="S3" s="9" t="s">
        <v>39</v>
      </c>
      <c r="T3" s="6">
        <v>10000000</v>
      </c>
      <c r="U3" s="5" t="s">
        <v>36</v>
      </c>
      <c r="V3" s="5" t="inlineStr">
        <is>
          <t>Otros</t>
        </is>
      </c>
    </row>
    <row r="4" spans="1:26" ht="36.75">
      <c r="A4" s="5" t="s">
        <v>40</v>
      </c>
      <c r="B4" s="5" t="s">
        <v>40</v>
      </c>
      <c r="C4" s="5" t="s">
        <v>37</v>
      </c>
      <c r="D4" s="6">
        <v>20000000</v>
      </c>
      <c r="E4" s="5" t="s">
        <v>41</v>
      </c>
      <c r="F4" s="11" t="s">
        <v>29</v>
      </c>
      <c r="G4" s="7">
        <v>100</v>
      </c>
      <c r="H4" s="11" t="s">
        <v>30</v>
      </c>
      <c r="I4" s="7">
        <v>100</v>
      </c>
      <c r="J4" s="5" t="s">
        <v>42</v>
      </c>
      <c r="K4" s="7">
        <v>50</v>
      </c>
      <c r="L4" s="5" t="s">
        <v>32</v>
      </c>
      <c r="M4" s="5" t="str">
        <f>A4&amp;"|"&amp;L4</f>
        <v>PRODUCTOS GENERALES|En seguimiento</v>
      </c>
      <c r="N4" s="5" t="s">
        <v>33</v>
      </c>
      <c r="O4" s="5" t="str">
        <f t="shared" si="0"/>
        <v>PRODUCTOS GENERALES</v>
      </c>
      <c r="P4" s="5" t="s">
        <v>34</v>
      </c>
      <c r="Q4" s="8">
        <v>46174</v>
      </c>
      <c r="R4" s="8">
        <v>46174</v>
      </c>
      <c r="S4" s="9" t="s">
        <v>43</v>
      </c>
      <c r="T4" s="6">
        <v>20000000</v>
      </c>
      <c r="U4" s="5" t="s">
        <v>36</v>
      </c>
      <c r="V4" s="5" t="inlineStr">
        <is>
          <t>Otros</t>
        </is>
      </c>
      <c r="Z4" s="30"/>
    </row>
    <row r="5" spans="1:26" ht="36.75">
      <c r="A5" s="5" t="s">
        <v>40</v>
      </c>
      <c r="B5" s="5" t="s">
        <v>40</v>
      </c>
      <c r="C5" s="5" t="s">
        <v>37</v>
      </c>
      <c r="D5" s="6">
        <v>20000000</v>
      </c>
      <c r="E5" s="5" t="s">
        <v>44</v>
      </c>
      <c r="F5" s="11" t="s">
        <v>29</v>
      </c>
      <c r="G5" s="7">
        <v>100</v>
      </c>
      <c r="H5" s="11" t="s">
        <v>30</v>
      </c>
      <c r="I5" s="7">
        <v>100</v>
      </c>
      <c r="J5" s="5" t="s">
        <v>42</v>
      </c>
      <c r="K5" s="7">
        <v>50</v>
      </c>
      <c r="L5" s="5" t="s">
        <v>32</v>
      </c>
      <c r="M5" s="5" t="str">
        <f>A5&amp;"|"&amp;L5</f>
        <v>PRODUCTOS GENERALES|En seguimiento</v>
      </c>
      <c r="N5" s="5" t="s">
        <v>33</v>
      </c>
      <c r="O5" s="5" t="str">
        <f t="shared" si="0"/>
        <v>PRODUCTOS GENERALES</v>
      </c>
      <c r="P5" s="5" t="s">
        <v>34</v>
      </c>
      <c r="Q5" s="8">
        <v>46174</v>
      </c>
      <c r="R5" s="8">
        <v>46174</v>
      </c>
      <c r="S5" s="9" t="s">
        <v>45</v>
      </c>
      <c r="T5" s="6">
        <v>20000000</v>
      </c>
      <c r="U5" s="5" t="s">
        <v>36</v>
      </c>
      <c r="V5" s="5" t="inlineStr">
        <is>
          <t>Otros</t>
        </is>
      </c>
      <c r="W5" s="33" t="s">
        <v>46</v>
      </c>
      <c r="X5" s="34" t="s">
        <v>25</v>
      </c>
    </row>
    <row r="6" spans="1:26" ht="36.75">
      <c r="A6" s="5" t="s">
        <v>40</v>
      </c>
      <c r="B6" s="5" t="s">
        <v>40</v>
      </c>
      <c r="C6" s="5" t="s">
        <v>47</v>
      </c>
      <c r="D6" s="6">
        <v>20000000</v>
      </c>
      <c r="E6" s="5" t="s">
        <v>48</v>
      </c>
      <c r="F6" s="11" t="s">
        <v>29</v>
      </c>
      <c r="G6" s="7">
        <v>100</v>
      </c>
      <c r="H6" s="11" t="s">
        <v>30</v>
      </c>
      <c r="I6" s="7">
        <v>100</v>
      </c>
      <c r="J6" s="5" t="s">
        <v>42</v>
      </c>
      <c r="K6" s="7">
        <v>50</v>
      </c>
      <c r="L6" s="5" t="s">
        <v>32</v>
      </c>
      <c r="M6" s="5" t="str">
        <f>A6&amp;"|"&amp;L6</f>
        <v>PRODUCTOS GENERALES|En seguimiento</v>
      </c>
      <c r="N6" s="5" t="s">
        <v>33</v>
      </c>
      <c r="O6" s="5" t="str">
        <f t="shared" si="0"/>
        <v>PRODUCTOS GENERALES</v>
      </c>
      <c r="P6" s="5" t="s">
        <v>34</v>
      </c>
      <c r="Q6" s="8">
        <v>46174</v>
      </c>
      <c r="R6" s="8">
        <v>46174</v>
      </c>
      <c r="S6" s="9" t="s">
        <v>49</v>
      </c>
      <c r="T6" s="6">
        <v>20000000</v>
      </c>
      <c r="U6" s="5" t="s">
        <v>36</v>
      </c>
      <c r="V6" s="5" t="inlineStr">
        <is>
          <t>Otros</t>
        </is>
      </c>
      <c r="W6" s="36">
        <f>COUNTIF(L2:L133,"En seguimiento")</f>
        <v>117</v>
      </c>
      <c r="X6" s="26">
        <f>SUMIF(L2:L133,"En seguimiento",T2:T133)</f>
        <v>4953572953</v>
      </c>
    </row>
    <row r="7" spans="1:26" ht="36.75">
      <c r="A7" s="5" t="s">
        <v>40</v>
      </c>
      <c r="B7" s="5" t="s">
        <v>40</v>
      </c>
      <c r="C7" s="5" t="s">
        <v>40</v>
      </c>
      <c r="D7" s="6">
        <v>20000000</v>
      </c>
      <c r="E7" s="5" t="s">
        <v>50</v>
      </c>
      <c r="F7" s="11" t="s">
        <v>29</v>
      </c>
      <c r="G7" s="7">
        <v>100</v>
      </c>
      <c r="H7" s="5" t="s">
        <v>30</v>
      </c>
      <c r="I7" s="7">
        <v>100</v>
      </c>
      <c r="J7" s="5" t="s">
        <v>31</v>
      </c>
      <c r="K7" s="7">
        <v>50</v>
      </c>
      <c r="L7" s="5" t="s">
        <v>32</v>
      </c>
      <c r="M7" s="5" t="str">
        <f>A7&amp;"|"&amp;L7</f>
        <v>PRODUCTOS GENERALES|En seguimiento</v>
      </c>
      <c r="N7" s="5" t="s">
        <v>33</v>
      </c>
      <c r="O7" s="5" t="str">
        <f t="shared" si="0"/>
        <v>PRODUCTOS GENERALES</v>
      </c>
      <c r="P7" s="5" t="s">
        <v>34</v>
      </c>
      <c r="Q7" s="8">
        <v>46174</v>
      </c>
      <c r="R7" s="8">
        <v>46174</v>
      </c>
      <c r="S7" s="9" t="s">
        <v>51</v>
      </c>
      <c r="T7" s="6">
        <v>20000000</v>
      </c>
      <c r="U7" s="5" t="s">
        <v>36</v>
      </c>
      <c r="V7" s="5" t="inlineStr">
        <is>
          <t>Otros</t>
        </is>
      </c>
    </row>
    <row r="8" spans="1:26" ht="36.75">
      <c r="A8" s="5" t="s">
        <v>40</v>
      </c>
      <c r="B8" s="5" t="s">
        <v>40</v>
      </c>
      <c r="C8" s="5" t="s">
        <v>40</v>
      </c>
      <c r="D8" s="6">
        <v>20000000</v>
      </c>
      <c r="E8" s="5" t="s">
        <v>52</v>
      </c>
      <c r="F8" s="11" t="s">
        <v>29</v>
      </c>
      <c r="G8" s="7">
        <v>100</v>
      </c>
      <c r="H8" s="5" t="s">
        <v>30</v>
      </c>
      <c r="I8" s="7">
        <v>100</v>
      </c>
      <c r="J8" s="5" t="s">
        <v>31</v>
      </c>
      <c r="K8" s="7">
        <v>50</v>
      </c>
      <c r="L8" s="5" t="s">
        <v>32</v>
      </c>
      <c r="M8" s="5" t="str">
        <f>A8&amp;"|"&amp;L8</f>
        <v>PRODUCTOS GENERALES|En seguimiento</v>
      </c>
      <c r="N8" s="5" t="s">
        <v>33</v>
      </c>
      <c r="O8" s="5" t="str">
        <f t="shared" si="0"/>
        <v>PRODUCTOS GENERALES</v>
      </c>
      <c r="P8" s="5" t="s">
        <v>34</v>
      </c>
      <c r="Q8" s="8">
        <v>46174</v>
      </c>
      <c r="R8" s="8">
        <v>46174</v>
      </c>
      <c r="S8" s="9" t="s">
        <v>53</v>
      </c>
      <c r="T8" s="6">
        <v>20000000</v>
      </c>
      <c r="U8" s="5" t="s">
        <v>36</v>
      </c>
      <c r="V8" s="5" t="inlineStr">
        <is>
          <t>Otros</t>
        </is>
      </c>
    </row>
    <row r="9" spans="1:26" ht="36.75">
      <c r="A9" s="5" t="s">
        <v>40</v>
      </c>
      <c r="B9" s="5" t="s">
        <v>40</v>
      </c>
      <c r="C9" s="5" t="s">
        <v>40</v>
      </c>
      <c r="D9" s="6">
        <v>20000000</v>
      </c>
      <c r="E9" s="5" t="s">
        <v>54</v>
      </c>
      <c r="F9" s="11" t="s">
        <v>29</v>
      </c>
      <c r="G9" s="7">
        <v>100</v>
      </c>
      <c r="H9" s="5" t="s">
        <v>30</v>
      </c>
      <c r="I9" s="7">
        <v>100</v>
      </c>
      <c r="J9" s="5" t="s">
        <v>31</v>
      </c>
      <c r="K9" s="7">
        <v>50</v>
      </c>
      <c r="L9" s="5" t="s">
        <v>32</v>
      </c>
      <c r="M9" s="5" t="str">
        <f>A9&amp;"|"&amp;L9</f>
        <v>PRODUCTOS GENERALES|En seguimiento</v>
      </c>
      <c r="N9" s="5" t="s">
        <v>33</v>
      </c>
      <c r="O9" s="5" t="str">
        <f t="shared" si="0"/>
        <v>PRODUCTOS GENERALES</v>
      </c>
      <c r="P9" s="5" t="s">
        <v>34</v>
      </c>
      <c r="Q9" s="8">
        <v>46174</v>
      </c>
      <c r="R9" s="8">
        <v>46174</v>
      </c>
      <c r="S9" s="9" t="s">
        <v>55</v>
      </c>
      <c r="T9" s="6">
        <v>20000000</v>
      </c>
      <c r="U9" s="5" t="s">
        <v>36</v>
      </c>
      <c r="V9" s="5" t="inlineStr">
        <is>
          <t>Otros</t>
        </is>
      </c>
    </row>
    <row r="10" spans="1:26" ht="36.75">
      <c r="A10" s="5" t="s">
        <v>40</v>
      </c>
      <c r="B10" s="5" t="s">
        <v>40</v>
      </c>
      <c r="C10" s="5" t="s">
        <v>40</v>
      </c>
      <c r="D10" s="6">
        <v>20000000</v>
      </c>
      <c r="E10" s="5" t="s">
        <v>56</v>
      </c>
      <c r="F10" s="11" t="s">
        <v>29</v>
      </c>
      <c r="G10" s="7">
        <v>100</v>
      </c>
      <c r="H10" s="5" t="s">
        <v>30</v>
      </c>
      <c r="I10" s="7">
        <v>100</v>
      </c>
      <c r="J10" s="5" t="s">
        <v>31</v>
      </c>
      <c r="K10" s="7">
        <v>50</v>
      </c>
      <c r="L10" s="5" t="s">
        <v>32</v>
      </c>
      <c r="M10" s="5" t="str">
        <f>A10&amp;"|"&amp;L10</f>
        <v>PRODUCTOS GENERALES|En seguimiento</v>
      </c>
      <c r="N10" s="5" t="s">
        <v>33</v>
      </c>
      <c r="O10" s="5" t="str">
        <f t="shared" si="0"/>
        <v>PRODUCTOS GENERALES</v>
      </c>
      <c r="P10" s="5" t="s">
        <v>34</v>
      </c>
      <c r="Q10" s="8">
        <v>46174</v>
      </c>
      <c r="R10" s="8">
        <v>46174</v>
      </c>
      <c r="S10" s="9" t="s">
        <v>57</v>
      </c>
      <c r="T10" s="6">
        <v>20000000</v>
      </c>
      <c r="U10" s="5" t="s">
        <v>36</v>
      </c>
      <c r="V10" s="5" t="inlineStr">
        <is>
          <t>Otros</t>
        </is>
      </c>
    </row>
    <row r="11" spans="1:26" ht="36.75">
      <c r="A11" s="5" t="s">
        <v>40</v>
      </c>
      <c r="B11" s="5" t="s">
        <v>40</v>
      </c>
      <c r="C11" s="5" t="s">
        <v>40</v>
      </c>
      <c r="D11" s="6">
        <v>20000000</v>
      </c>
      <c r="E11" s="5" t="s">
        <v>58</v>
      </c>
      <c r="F11" s="11" t="s">
        <v>29</v>
      </c>
      <c r="G11" s="7">
        <v>100</v>
      </c>
      <c r="H11" s="5" t="s">
        <v>30</v>
      </c>
      <c r="I11" s="7">
        <v>100</v>
      </c>
      <c r="J11" s="5" t="s">
        <v>31</v>
      </c>
      <c r="K11" s="7">
        <v>50</v>
      </c>
      <c r="L11" s="5" t="s">
        <v>32</v>
      </c>
      <c r="M11" s="5" t="str">
        <f>A11&amp;"|"&amp;L11</f>
        <v>PRODUCTOS GENERALES|En seguimiento</v>
      </c>
      <c r="N11" s="5" t="s">
        <v>33</v>
      </c>
      <c r="O11" s="5" t="str">
        <f t="shared" si="0"/>
        <v>PRODUCTOS GENERALES</v>
      </c>
      <c r="P11" s="5" t="s">
        <v>34</v>
      </c>
      <c r="Q11" s="8">
        <v>46174</v>
      </c>
      <c r="R11" s="8">
        <v>46174</v>
      </c>
      <c r="S11" s="12" t="s">
        <v>59</v>
      </c>
      <c r="T11" s="6">
        <v>20000000</v>
      </c>
      <c r="U11" s="5" t="s">
        <v>36</v>
      </c>
      <c r="V11" s="5" t="inlineStr">
        <is>
          <t>Otros</t>
        </is>
      </c>
    </row>
    <row r="12" spans="1:26" ht="36.75">
      <c r="A12" s="5" t="s">
        <v>40</v>
      </c>
      <c r="B12" s="5" t="s">
        <v>40</v>
      </c>
      <c r="C12" s="5" t="s">
        <v>40</v>
      </c>
      <c r="D12" s="6">
        <v>20000000</v>
      </c>
      <c r="E12" s="5" t="s">
        <v>60</v>
      </c>
      <c r="F12" s="11" t="s">
        <v>29</v>
      </c>
      <c r="G12" s="7">
        <v>100</v>
      </c>
      <c r="H12" s="5" t="s">
        <v>30</v>
      </c>
      <c r="I12" s="7">
        <v>100</v>
      </c>
      <c r="J12" s="5" t="s">
        <v>31</v>
      </c>
      <c r="K12" s="7">
        <v>50</v>
      </c>
      <c r="L12" s="5" t="s">
        <v>32</v>
      </c>
      <c r="M12" s="5" t="str">
        <f>A12&amp;"|"&amp;L12</f>
        <v>PRODUCTOS GENERALES|En seguimiento</v>
      </c>
      <c r="N12" s="5" t="s">
        <v>33</v>
      </c>
      <c r="O12" s="5" t="str">
        <f t="shared" si="0"/>
        <v>PRODUCTOS GENERALES</v>
      </c>
      <c r="P12" s="5" t="s">
        <v>34</v>
      </c>
      <c r="Q12" s="8">
        <v>46174</v>
      </c>
      <c r="R12" s="8">
        <v>46174</v>
      </c>
      <c r="S12" s="9" t="s">
        <v>61</v>
      </c>
      <c r="T12" s="6">
        <v>20000000</v>
      </c>
      <c r="U12" s="5" t="s">
        <v>36</v>
      </c>
      <c r="V12" s="5" t="inlineStr">
        <is>
          <t>Otros</t>
        </is>
      </c>
    </row>
    <row r="13" spans="1:26" ht="36.75">
      <c r="A13" s="5" t="s">
        <v>40</v>
      </c>
      <c r="B13" s="5" t="s">
        <v>40</v>
      </c>
      <c r="C13" s="5" t="s">
        <v>40</v>
      </c>
      <c r="D13" s="6">
        <v>20000000</v>
      </c>
      <c r="E13" s="5" t="s">
        <v>62</v>
      </c>
      <c r="F13" s="11" t="s">
        <v>29</v>
      </c>
      <c r="G13" s="7">
        <v>100</v>
      </c>
      <c r="H13" s="5" t="s">
        <v>30</v>
      </c>
      <c r="I13" s="7">
        <v>100</v>
      </c>
      <c r="J13" s="5" t="s">
        <v>31</v>
      </c>
      <c r="K13" s="7">
        <v>50</v>
      </c>
      <c r="L13" s="5" t="s">
        <v>32</v>
      </c>
      <c r="M13" s="5" t="str">
        <f>A13&amp;"|"&amp;L13</f>
        <v>PRODUCTOS GENERALES|En seguimiento</v>
      </c>
      <c r="N13" s="5" t="s">
        <v>33</v>
      </c>
      <c r="O13" s="5" t="str">
        <f t="shared" si="0"/>
        <v>PRODUCTOS GENERALES</v>
      </c>
      <c r="P13" s="5" t="s">
        <v>34</v>
      </c>
      <c r="Q13" s="8">
        <v>46174</v>
      </c>
      <c r="R13" s="8">
        <v>46174</v>
      </c>
      <c r="S13" s="12" t="s">
        <v>63</v>
      </c>
      <c r="T13" s="6">
        <v>20000000</v>
      </c>
      <c r="U13" s="5" t="s">
        <v>36</v>
      </c>
      <c r="V13" s="5" t="inlineStr">
        <is>
          <t>Otros</t>
        </is>
      </c>
    </row>
    <row r="14" spans="1:26" ht="105" customHeight="1">
      <c r="A14" s="5" t="s">
        <v>40</v>
      </c>
      <c r="B14" s="5" t="s">
        <v>40</v>
      </c>
      <c r="C14" s="5" t="s">
        <v>64</v>
      </c>
      <c r="D14" s="6">
        <v>20000000</v>
      </c>
      <c r="E14" s="11" t="s">
        <v>65</v>
      </c>
      <c r="F14" s="11" t="s">
        <v>66</v>
      </c>
      <c r="G14" s="7">
        <v>100</v>
      </c>
      <c r="H14" s="5" t="s">
        <v>67</v>
      </c>
      <c r="I14" s="7">
        <v>100</v>
      </c>
      <c r="J14" s="5" t="s">
        <v>31</v>
      </c>
      <c r="K14" s="7">
        <v>50</v>
      </c>
      <c r="L14" s="5" t="s">
        <v>32</v>
      </c>
      <c r="M14" s="5" t="str">
        <f>A14&amp;"|"&amp;L14</f>
        <v>PRODUCTOS GENERALES|En seguimiento</v>
      </c>
      <c r="N14" s="5" t="s">
        <v>68</v>
      </c>
      <c r="O14" s="5" t="str">
        <f t="shared" si="0"/>
        <v>PRODUCTOS GENERALES</v>
      </c>
      <c r="P14" s="5" t="s">
        <v>69</v>
      </c>
      <c r="Q14" s="8">
        <v>46209</v>
      </c>
      <c r="R14" s="8">
        <v>46209</v>
      </c>
      <c r="S14" s="9" t="s">
        <v>70</v>
      </c>
      <c r="T14" s="6">
        <v>20000000</v>
      </c>
      <c r="U14" s="5" t="s">
        <v>36</v>
      </c>
      <c r="V14" s="5" t="inlineStr">
        <is>
          <t>Otros</t>
        </is>
      </c>
    </row>
    <row r="15" spans="1:26" ht="61.5">
      <c r="A15" s="5" t="s">
        <v>71</v>
      </c>
      <c r="B15" s="11" t="s">
        <v>72</v>
      </c>
      <c r="C15" s="5" t="s">
        <v>73</v>
      </c>
      <c r="D15" s="6">
        <v>40000000</v>
      </c>
      <c r="E15" s="5" t="s">
        <v>74</v>
      </c>
      <c r="F15" s="11" t="s">
        <v>29</v>
      </c>
      <c r="G15" s="7">
        <v>100</v>
      </c>
      <c r="H15" s="5" t="s">
        <v>30</v>
      </c>
      <c r="I15" s="7">
        <v>100</v>
      </c>
      <c r="J15" s="5" t="s">
        <v>31</v>
      </c>
      <c r="K15" s="7">
        <v>50</v>
      </c>
      <c r="L15" s="5" t="s">
        <v>32</v>
      </c>
      <c r="M15" s="5" t="str">
        <f>A15&amp;"|"&amp;L15</f>
        <v>N1|En seguimiento</v>
      </c>
      <c r="N15" s="5" t="s">
        <v>33</v>
      </c>
      <c r="O15" s="5" t="str">
        <f t="shared" si="0"/>
        <v>Andrea Morales</v>
      </c>
      <c r="P15" s="5" t="s">
        <v>34</v>
      </c>
      <c r="Q15" s="8">
        <v>46195</v>
      </c>
      <c r="R15" s="8">
        <v>46225</v>
      </c>
      <c r="S15" s="9" t="s">
        <v>75</v>
      </c>
      <c r="T15" s="6">
        <v>42014863</v>
      </c>
      <c r="U15" s="5" t="s">
        <v>76</v>
      </c>
      <c r="V15" s="5" t="inlineStr">
        <is>
          <t>Consumo Masivo</t>
        </is>
      </c>
    </row>
    <row r="16" spans="1:26" ht="98.25">
      <c r="A16" s="5" t="s">
        <v>71</v>
      </c>
      <c r="B16" s="11" t="s">
        <v>77</v>
      </c>
      <c r="C16" s="13" t="s">
        <v>78</v>
      </c>
      <c r="D16" s="6">
        <v>50000000</v>
      </c>
      <c r="E16" s="5" t="s">
        <v>79</v>
      </c>
      <c r="F16" s="11" t="s">
        <v>29</v>
      </c>
      <c r="G16" s="7">
        <v>100</v>
      </c>
      <c r="H16" s="5" t="s">
        <v>30</v>
      </c>
      <c r="I16" s="7">
        <v>100</v>
      </c>
      <c r="J16" s="5"/>
      <c r="K16" s="7">
        <v>50</v>
      </c>
      <c r="L16" s="5" t="s">
        <v>32</v>
      </c>
      <c r="M16" s="5" t="str">
        <f>A16&amp;"|"&amp;L16</f>
        <v>N1|En seguimiento</v>
      </c>
      <c r="N16" s="5" t="s">
        <v>68</v>
      </c>
      <c r="O16" s="5" t="str">
        <f t="shared" si="0"/>
        <v>Rosa Diaz</v>
      </c>
      <c r="P16" s="5" t="s">
        <v>69</v>
      </c>
      <c r="Q16" s="8">
        <v>46224</v>
      </c>
      <c r="R16" s="8">
        <v>46233</v>
      </c>
      <c r="S16" s="9" t="s">
        <v>80</v>
      </c>
      <c r="T16" s="6">
        <v>58000000</v>
      </c>
      <c r="U16" s="5" t="s">
        <v>81</v>
      </c>
      <c r="V16" s="5" t="inlineStr">
        <is>
          <t>Automotriz</t>
        </is>
      </c>
    </row>
    <row r="17" spans="1:22" ht="98.25">
      <c r="A17" s="5" t="s">
        <v>71</v>
      </c>
      <c r="B17" s="11" t="s">
        <v>77</v>
      </c>
      <c r="C17" s="13" t="s">
        <v>82</v>
      </c>
      <c r="D17" s="6">
        <v>50000000</v>
      </c>
      <c r="E17" s="5" t="s">
        <v>79</v>
      </c>
      <c r="F17" s="11" t="s">
        <v>29</v>
      </c>
      <c r="G17" s="7">
        <v>100</v>
      </c>
      <c r="H17" s="5" t="s">
        <v>30</v>
      </c>
      <c r="I17" s="7">
        <v>100</v>
      </c>
      <c r="J17" s="5"/>
      <c r="K17" s="7">
        <v>50</v>
      </c>
      <c r="L17" s="5" t="s">
        <v>32</v>
      </c>
      <c r="M17" s="5" t="str">
        <f>A17&amp;"|"&amp;L17</f>
        <v>N1|En seguimiento</v>
      </c>
      <c r="N17" s="5" t="s">
        <v>68</v>
      </c>
      <c r="O17" s="5" t="str">
        <f t="shared" si="0"/>
        <v>Rosa Diaz</v>
      </c>
      <c r="P17" s="5" t="s">
        <v>69</v>
      </c>
      <c r="Q17" s="8">
        <v>46224</v>
      </c>
      <c r="R17" s="8">
        <v>46233</v>
      </c>
      <c r="S17" s="9" t="s">
        <v>83</v>
      </c>
      <c r="T17" s="6">
        <v>58000000</v>
      </c>
      <c r="U17" s="5" t="s">
        <v>81</v>
      </c>
      <c r="V17" s="5" t="inlineStr">
        <is>
          <t>Automotriz</t>
        </is>
      </c>
    </row>
    <row r="18" spans="1:22" ht="61.5">
      <c r="A18" s="5" t="s">
        <v>71</v>
      </c>
      <c r="B18" s="11" t="s">
        <v>84</v>
      </c>
      <c r="C18" s="13" t="s">
        <v>85</v>
      </c>
      <c r="D18" s="6">
        <v>33580000</v>
      </c>
      <c r="E18" s="5" t="s">
        <v>86</v>
      </c>
      <c r="F18" s="11" t="s">
        <v>87</v>
      </c>
      <c r="G18" s="7">
        <v>100</v>
      </c>
      <c r="H18" s="5"/>
      <c r="I18" s="7">
        <v>100</v>
      </c>
      <c r="J18" s="5"/>
      <c r="K18" s="7">
        <v>50</v>
      </c>
      <c r="L18" s="5" t="s">
        <v>32</v>
      </c>
      <c r="M18" s="5" t="str">
        <f>A18&amp;"|"&amp;L18</f>
        <v>N1|En seguimiento</v>
      </c>
      <c r="N18" s="5" t="s">
        <v>68</v>
      </c>
      <c r="O18" s="5" t="str">
        <f t="shared" si="0"/>
        <v>Felipe Guillen</v>
      </c>
      <c r="P18" s="5" t="s">
        <v>88</v>
      </c>
      <c r="Q18" s="8">
        <v>46267</v>
      </c>
      <c r="R18" s="8">
        <v>46267</v>
      </c>
      <c r="S18" s="12" t="s">
        <v>89</v>
      </c>
      <c r="T18" s="6">
        <v>33580000</v>
      </c>
      <c r="U18" s="6" t="s">
        <v>90</v>
      </c>
      <c r="V18" s="6" t="inlineStr">
        <is>
          <t>Tecnología</t>
        </is>
      </c>
    </row>
    <row r="19" spans="1:22" ht="110.25">
      <c r="A19" s="5" t="s">
        <v>71</v>
      </c>
      <c r="B19" s="11" t="s">
        <v>91</v>
      </c>
      <c r="C19" s="13" t="s">
        <v>92</v>
      </c>
      <c r="D19" s="6">
        <v>30000000</v>
      </c>
      <c r="E19" s="5" t="s">
        <v>79</v>
      </c>
      <c r="F19" s="11" t="s">
        <v>29</v>
      </c>
      <c r="G19" s="7">
        <v>100</v>
      </c>
      <c r="H19" s="5" t="s">
        <v>93</v>
      </c>
      <c r="I19" s="7">
        <v>100</v>
      </c>
      <c r="J19" s="5" t="s">
        <v>94</v>
      </c>
      <c r="K19" s="7">
        <v>50</v>
      </c>
      <c r="L19" s="5" t="s">
        <v>32</v>
      </c>
      <c r="M19" s="5" t="str">
        <f>A19&amp;"|"&amp;L19</f>
        <v>N1|En seguimiento</v>
      </c>
      <c r="N19" s="5" t="s">
        <v>68</v>
      </c>
      <c r="O19" s="5" t="str">
        <f t="shared" si="0"/>
        <v>Carolina Diaz</v>
      </c>
      <c r="P19" s="5" t="s">
        <v>95</v>
      </c>
      <c r="Q19" s="8">
        <v>46247</v>
      </c>
      <c r="R19" s="8">
        <v>46254</v>
      </c>
      <c r="S19" s="12" t="s">
        <v>96</v>
      </c>
      <c r="T19" s="6">
        <v>50687000</v>
      </c>
      <c r="U19" s="5" t="s">
        <v>76</v>
      </c>
      <c r="V19" s="5" t="inlineStr">
        <is>
          <t>Salud</t>
        </is>
      </c>
    </row>
    <row r="20" spans="1:22" ht="98.25">
      <c r="A20" s="5" t="s">
        <v>71</v>
      </c>
      <c r="B20" s="11" t="s">
        <v>72</v>
      </c>
      <c r="C20" s="13" t="s">
        <v>97</v>
      </c>
      <c r="D20" s="14">
        <v>28500000</v>
      </c>
      <c r="E20" s="5" t="s">
        <v>79</v>
      </c>
      <c r="F20" s="11" t="s">
        <v>87</v>
      </c>
      <c r="G20" s="7">
        <v>100</v>
      </c>
      <c r="H20" s="11" t="s">
        <v>98</v>
      </c>
      <c r="I20" s="7">
        <v>100</v>
      </c>
      <c r="J20" s="5"/>
      <c r="K20" s="7">
        <v>50</v>
      </c>
      <c r="L20" s="5" t="s">
        <v>32</v>
      </c>
      <c r="M20" s="5" t="str">
        <f>A20&amp;"|"&amp;L20</f>
        <v>N1|En seguimiento</v>
      </c>
      <c r="N20" s="5" t="s">
        <v>68</v>
      </c>
      <c r="O20" s="5" t="str">
        <f t="shared" si="0"/>
        <v>Andrea Morales</v>
      </c>
      <c r="P20" s="5" t="s">
        <v>69</v>
      </c>
      <c r="Q20" s="8">
        <v>46211</v>
      </c>
      <c r="R20" s="8">
        <v>46211</v>
      </c>
      <c r="S20" s="12" t="s">
        <v>99</v>
      </c>
      <c r="T20" s="14">
        <v>28500000</v>
      </c>
      <c r="U20" s="5" t="s">
        <v>90</v>
      </c>
      <c r="V20" s="5" t="inlineStr">
        <is>
          <t>Consumo Masivo</t>
        </is>
      </c>
    </row>
    <row r="21" spans="1:22" ht="98.25">
      <c r="A21" s="5" t="s">
        <v>71</v>
      </c>
      <c r="B21" s="5" t="s">
        <v>100</v>
      </c>
      <c r="C21" s="5" t="s">
        <v>101</v>
      </c>
      <c r="D21" s="6">
        <v>34000000</v>
      </c>
      <c r="E21" s="11" t="s">
        <v>102</v>
      </c>
      <c r="F21" s="11" t="s">
        <v>87</v>
      </c>
      <c r="G21" s="7">
        <v>100</v>
      </c>
      <c r="H21" s="11" t="s">
        <v>98</v>
      </c>
      <c r="I21" s="7">
        <v>100</v>
      </c>
      <c r="J21" s="5"/>
      <c r="K21" s="7">
        <v>50</v>
      </c>
      <c r="L21" s="5" t="s">
        <v>32</v>
      </c>
      <c r="M21" s="5" t="str">
        <f>A21&amp;"|"&amp;L21</f>
        <v>N1|En seguimiento</v>
      </c>
      <c r="N21" s="5" t="s">
        <v>33</v>
      </c>
      <c r="O21" s="5" t="str">
        <f t="shared" si="0"/>
        <v xml:space="preserve">Andrea Morales </v>
      </c>
      <c r="P21" s="5" t="s">
        <v>95</v>
      </c>
      <c r="Q21" s="8">
        <v>46238</v>
      </c>
      <c r="R21" s="8">
        <v>46239</v>
      </c>
      <c r="S21" s="12" t="s">
        <v>103</v>
      </c>
      <c r="T21" s="6">
        <v>34000000</v>
      </c>
      <c r="U21" s="5" t="s">
        <v>90</v>
      </c>
      <c r="V21" s="5" t="inlineStr">
        <is>
          <t>Consumo Masivo</t>
        </is>
      </c>
    </row>
    <row r="22" spans="1:22" ht="73.5">
      <c r="A22" s="15" t="s">
        <v>71</v>
      </c>
      <c r="B22" s="15" t="s">
        <v>84</v>
      </c>
      <c r="C22" s="15" t="s">
        <v>104</v>
      </c>
      <c r="D22" s="16">
        <v>15000000</v>
      </c>
      <c r="E22" s="15" t="s">
        <v>105</v>
      </c>
      <c r="F22" s="15" t="s">
        <v>106</v>
      </c>
      <c r="G22" s="17">
        <v>100</v>
      </c>
      <c r="H22" s="15" t="s">
        <v>107</v>
      </c>
      <c r="I22" s="17">
        <v>100</v>
      </c>
      <c r="J22" s="15" t="s">
        <v>108</v>
      </c>
      <c r="K22" s="17">
        <v>100</v>
      </c>
      <c r="L22" s="15" t="s">
        <v>109</v>
      </c>
      <c r="M22" s="15" t="str">
        <f>A22&amp;"|"&amp;L22</f>
        <v>N1|Cerrada</v>
      </c>
      <c r="N22" s="15"/>
      <c r="O22" s="15" t="str">
        <f t="shared" si="0"/>
        <v>Felipe Guillen</v>
      </c>
      <c r="P22" s="15" t="s">
        <v>34</v>
      </c>
      <c r="Q22" s="18">
        <v>46198</v>
      </c>
      <c r="R22" s="18">
        <v>46198</v>
      </c>
      <c r="S22" s="19" t="s">
        <v>51</v>
      </c>
      <c r="T22" s="16">
        <v>32000000</v>
      </c>
      <c r="U22" s="15" t="s">
        <v>76</v>
      </c>
      <c r="V22" s="15" t="inlineStr">
        <is>
          <t>Consumo Masivo</t>
        </is>
      </c>
    </row>
    <row r="23" spans="1:22" ht="61.5">
      <c r="A23" s="5" t="s">
        <v>71</v>
      </c>
      <c r="B23" s="5" t="s">
        <v>72</v>
      </c>
      <c r="C23" s="5" t="s">
        <v>110</v>
      </c>
      <c r="D23" s="6">
        <v>50000000</v>
      </c>
      <c r="E23" s="11" t="s">
        <v>111</v>
      </c>
      <c r="F23" s="11" t="s">
        <v>87</v>
      </c>
      <c r="G23" s="7">
        <v>100</v>
      </c>
      <c r="H23" s="5" t="s">
        <v>112</v>
      </c>
      <c r="I23" s="7">
        <v>100</v>
      </c>
      <c r="J23" s="5" t="s">
        <v>113</v>
      </c>
      <c r="K23" s="7">
        <v>50</v>
      </c>
      <c r="L23" s="5" t="s">
        <v>32</v>
      </c>
      <c r="M23" s="5" t="str">
        <f>A23&amp;"|"&amp;L23</f>
        <v>N1|En seguimiento</v>
      </c>
      <c r="N23" s="5" t="s">
        <v>68</v>
      </c>
      <c r="O23" s="5" t="str">
        <f t="shared" si="0"/>
        <v>Andrea Morales</v>
      </c>
      <c r="P23" s="5" t="s">
        <v>69</v>
      </c>
      <c r="Q23" s="8">
        <v>46205</v>
      </c>
      <c r="R23" s="8">
        <v>46205</v>
      </c>
      <c r="S23" s="9" t="s">
        <v>114</v>
      </c>
      <c r="T23" s="6">
        <v>76000000</v>
      </c>
      <c r="U23" s="5" t="s">
        <v>81</v>
      </c>
      <c r="V23" s="5" t="inlineStr">
        <is>
          <t>Moda</t>
        </is>
      </c>
    </row>
    <row r="24" spans="1:22" ht="98.25">
      <c r="A24" s="5" t="s">
        <v>71</v>
      </c>
      <c r="B24" s="5" t="s">
        <v>91</v>
      </c>
      <c r="C24" s="5" t="s">
        <v>115</v>
      </c>
      <c r="D24" s="6">
        <v>35000000</v>
      </c>
      <c r="E24" s="11" t="s">
        <v>79</v>
      </c>
      <c r="F24" s="11" t="s">
        <v>87</v>
      </c>
      <c r="G24" s="7">
        <v>100</v>
      </c>
      <c r="H24" s="11" t="s">
        <v>98</v>
      </c>
      <c r="I24" s="7">
        <v>100</v>
      </c>
      <c r="J24" s="5"/>
      <c r="K24" s="7">
        <v>50</v>
      </c>
      <c r="L24" s="5" t="s">
        <v>32</v>
      </c>
      <c r="M24" s="5" t="str">
        <f>A24&amp;"|"&amp;L24</f>
        <v>N1|En seguimiento</v>
      </c>
      <c r="N24" s="5" t="s">
        <v>33</v>
      </c>
      <c r="O24" s="5" t="str">
        <f t="shared" si="0"/>
        <v>Carolina Diaz</v>
      </c>
      <c r="P24" s="5" t="s">
        <v>69</v>
      </c>
      <c r="Q24" s="8">
        <v>46212</v>
      </c>
      <c r="R24" s="8">
        <v>46212</v>
      </c>
      <c r="S24" s="9" t="s">
        <v>116</v>
      </c>
      <c r="T24" s="6">
        <v>39000000</v>
      </c>
      <c r="U24" s="5" t="s">
        <v>81</v>
      </c>
      <c r="V24" s="5" t="inlineStr">
        <is>
          <t>Moda</t>
        </is>
      </c>
    </row>
    <row r="25" spans="1:22" ht="98.25">
      <c r="A25" s="5" t="s">
        <v>71</v>
      </c>
      <c r="B25" s="5" t="s">
        <v>91</v>
      </c>
      <c r="C25" s="5" t="s">
        <v>117</v>
      </c>
      <c r="D25" s="6">
        <v>40000000</v>
      </c>
      <c r="E25" s="11" t="s">
        <v>79</v>
      </c>
      <c r="F25" s="11" t="s">
        <v>87</v>
      </c>
      <c r="G25" s="7">
        <v>100</v>
      </c>
      <c r="H25" s="11" t="s">
        <v>98</v>
      </c>
      <c r="I25" s="7">
        <v>100</v>
      </c>
      <c r="J25" s="5" t="s">
        <v>118</v>
      </c>
      <c r="K25" s="7">
        <v>50</v>
      </c>
      <c r="L25" s="5" t="s">
        <v>32</v>
      </c>
      <c r="M25" s="5" t="str">
        <f>A25&amp;"|"&amp;L25</f>
        <v>N1|En seguimiento</v>
      </c>
      <c r="N25" s="5" t="s">
        <v>33</v>
      </c>
      <c r="O25" s="5" t="str">
        <f t="shared" si="0"/>
        <v>Carolina Diaz</v>
      </c>
      <c r="P25" s="5" t="s">
        <v>69</v>
      </c>
      <c r="Q25" s="8">
        <v>46212</v>
      </c>
      <c r="R25" s="8">
        <v>46212</v>
      </c>
      <c r="S25" s="9" t="s">
        <v>119</v>
      </c>
      <c r="T25" s="6">
        <v>39420000</v>
      </c>
      <c r="U25" s="5" t="s">
        <v>81</v>
      </c>
      <c r="V25" s="5" t="inlineStr">
        <is>
          <t>Tecnología</t>
        </is>
      </c>
    </row>
    <row r="26" spans="1:22" ht="98.25">
      <c r="A26" s="5" t="s">
        <v>71</v>
      </c>
      <c r="B26" s="5" t="s">
        <v>91</v>
      </c>
      <c r="C26" s="5" t="s">
        <v>120</v>
      </c>
      <c r="D26" s="6">
        <v>35000000</v>
      </c>
      <c r="E26" s="11" t="s">
        <v>79</v>
      </c>
      <c r="F26" s="11" t="s">
        <v>87</v>
      </c>
      <c r="G26" s="7">
        <v>100</v>
      </c>
      <c r="H26" s="11" t="s">
        <v>98</v>
      </c>
      <c r="I26" s="7">
        <v>100</v>
      </c>
      <c r="J26" s="5"/>
      <c r="K26" s="7">
        <v>50</v>
      </c>
      <c r="L26" s="5" t="s">
        <v>32</v>
      </c>
      <c r="M26" s="5" t="str">
        <f>A26&amp;"|"&amp;L26</f>
        <v>N1|En seguimiento</v>
      </c>
      <c r="N26" s="5" t="s">
        <v>33</v>
      </c>
      <c r="O26" s="5" t="str">
        <f t="shared" si="0"/>
        <v>Carolina Diaz</v>
      </c>
      <c r="P26" s="5" t="s">
        <v>69</v>
      </c>
      <c r="Q26" s="8">
        <v>46213</v>
      </c>
      <c r="R26" s="8">
        <v>46213</v>
      </c>
      <c r="S26" s="9" t="s">
        <v>121</v>
      </c>
      <c r="T26" s="6">
        <v>39000000</v>
      </c>
      <c r="U26" s="5" t="s">
        <v>81</v>
      </c>
      <c r="V26" s="5" t="inlineStr">
        <is>
          <t>Moda</t>
        </is>
      </c>
    </row>
    <row r="27" spans="1:22" ht="98.25">
      <c r="A27" s="5" t="s">
        <v>71</v>
      </c>
      <c r="B27" s="5" t="s">
        <v>122</v>
      </c>
      <c r="C27" s="5" t="s">
        <v>123</v>
      </c>
      <c r="D27" s="6">
        <v>30000000</v>
      </c>
      <c r="E27" s="11" t="s">
        <v>124</v>
      </c>
      <c r="F27" s="11" t="s">
        <v>87</v>
      </c>
      <c r="G27" s="7">
        <v>100</v>
      </c>
      <c r="H27" s="11" t="s">
        <v>98</v>
      </c>
      <c r="I27" s="7">
        <v>100</v>
      </c>
      <c r="J27" s="5"/>
      <c r="K27" s="7">
        <v>50</v>
      </c>
      <c r="L27" s="5" t="s">
        <v>32</v>
      </c>
      <c r="M27" s="5" t="str">
        <f>A27&amp;"|"&amp;L27</f>
        <v>N1|En seguimiento</v>
      </c>
      <c r="N27" s="5" t="s">
        <v>33</v>
      </c>
      <c r="O27" s="5" t="str">
        <f t="shared" si="0"/>
        <v>Natalia Zambrano</v>
      </c>
      <c r="P27" s="5" t="s">
        <v>69</v>
      </c>
      <c r="Q27" s="8">
        <v>46213</v>
      </c>
      <c r="R27" s="8">
        <v>46213</v>
      </c>
      <c r="S27" s="9" t="s">
        <v>125</v>
      </c>
      <c r="T27" s="6">
        <v>32600000</v>
      </c>
      <c r="U27" s="5" t="s">
        <v>81</v>
      </c>
      <c r="V27" s="5" t="inlineStr">
        <is>
          <t>Tecnología</t>
        </is>
      </c>
    </row>
    <row r="28" spans="1:22" ht="98.25">
      <c r="A28" s="5" t="s">
        <v>126</v>
      </c>
      <c r="B28" s="11" t="s">
        <v>127</v>
      </c>
      <c r="C28" s="5" t="s">
        <v>128</v>
      </c>
      <c r="D28" s="6" t="s">
        <v>129</v>
      </c>
      <c r="E28" s="5" t="s">
        <v>130</v>
      </c>
      <c r="F28" s="11" t="s">
        <v>131</v>
      </c>
      <c r="G28" s="7">
        <v>100</v>
      </c>
      <c r="H28" s="5" t="s">
        <v>87</v>
      </c>
      <c r="I28" s="7">
        <v>100</v>
      </c>
      <c r="J28" s="5" t="s">
        <v>98</v>
      </c>
      <c r="K28" s="7">
        <v>50</v>
      </c>
      <c r="L28" s="5" t="s">
        <v>32</v>
      </c>
      <c r="M28" s="5" t="str">
        <f>A28&amp;"|"&amp;L28</f>
        <v>N2|En seguimiento</v>
      </c>
      <c r="N28" s="5" t="s">
        <v>33</v>
      </c>
      <c r="O28" s="5" t="str">
        <f t="shared" si="0"/>
        <v>Camilo Prada</v>
      </c>
      <c r="P28" s="5" t="s">
        <v>34</v>
      </c>
      <c r="Q28" s="8">
        <v>46177</v>
      </c>
      <c r="R28" s="8">
        <v>46196</v>
      </c>
      <c r="S28" s="9" t="s">
        <v>132</v>
      </c>
      <c r="T28" s="6">
        <v>30000000</v>
      </c>
      <c r="U28" s="5" t="s">
        <v>76</v>
      </c>
      <c r="V28" s="5" t="inlineStr">
        <is>
          <t>Banca</t>
        </is>
      </c>
    </row>
    <row r="29" spans="1:22" ht="110.25">
      <c r="A29" s="5" t="s">
        <v>126</v>
      </c>
      <c r="B29" s="11" t="s">
        <v>127</v>
      </c>
      <c r="C29" s="5" t="s">
        <v>133</v>
      </c>
      <c r="D29" s="6">
        <v>42050587</v>
      </c>
      <c r="E29" s="5" t="s">
        <v>134</v>
      </c>
      <c r="F29" s="11" t="s">
        <v>135</v>
      </c>
      <c r="G29" s="7">
        <v>100</v>
      </c>
      <c r="H29" s="5" t="s">
        <v>87</v>
      </c>
      <c r="I29" s="7">
        <v>100</v>
      </c>
      <c r="J29" s="5" t="s">
        <v>136</v>
      </c>
      <c r="K29" s="7">
        <v>50</v>
      </c>
      <c r="L29" s="5" t="s">
        <v>32</v>
      </c>
      <c r="M29" s="5" t="str">
        <f>A29&amp;"|"&amp;L29</f>
        <v>N2|En seguimiento</v>
      </c>
      <c r="N29" s="5" t="s">
        <v>33</v>
      </c>
      <c r="O29" s="5" t="str">
        <f t="shared" si="0"/>
        <v>Camilo Prada</v>
      </c>
      <c r="P29" s="5" t="s">
        <v>34</v>
      </c>
      <c r="Q29" s="8">
        <v>46196</v>
      </c>
      <c r="R29" s="8">
        <v>46206</v>
      </c>
      <c r="S29" s="9" t="s">
        <v>137</v>
      </c>
      <c r="T29" s="6">
        <v>30000000</v>
      </c>
      <c r="U29" s="5" t="s">
        <v>81</v>
      </c>
      <c r="V29" s="5" t="inlineStr">
        <is>
          <t>Consumo Masivo</t>
        </is>
      </c>
    </row>
    <row r="30" spans="1:22" ht="110.25">
      <c r="A30" s="5" t="s">
        <v>126</v>
      </c>
      <c r="B30" s="11" t="s">
        <v>138</v>
      </c>
      <c r="C30" s="5" t="s">
        <v>139</v>
      </c>
      <c r="D30" s="6">
        <v>28067985</v>
      </c>
      <c r="E30" s="5" t="s">
        <v>140</v>
      </c>
      <c r="F30" s="11" t="s">
        <v>29</v>
      </c>
      <c r="G30" s="7">
        <v>100</v>
      </c>
      <c r="H30" s="5" t="s">
        <v>87</v>
      </c>
      <c r="I30" s="7">
        <v>100</v>
      </c>
      <c r="J30" s="11" t="s">
        <v>141</v>
      </c>
      <c r="K30" s="7">
        <v>50</v>
      </c>
      <c r="L30" s="5" t="s">
        <v>32</v>
      </c>
      <c r="M30" s="5" t="str">
        <f>A30&amp;"|"&amp;L30</f>
        <v>N2|En seguimiento</v>
      </c>
      <c r="N30" s="5" t="s">
        <v>33</v>
      </c>
      <c r="O30" s="5" t="str">
        <f t="shared" si="0"/>
        <v>Luisa Escobar</v>
      </c>
      <c r="P30" s="5" t="s">
        <v>34</v>
      </c>
      <c r="Q30" s="8">
        <v>46177</v>
      </c>
      <c r="R30" s="8">
        <v>46197</v>
      </c>
      <c r="S30" s="9" t="s">
        <v>142</v>
      </c>
      <c r="T30" s="6">
        <v>54244200</v>
      </c>
      <c r="U30" s="5" t="s">
        <v>81</v>
      </c>
      <c r="V30" s="5" t="inlineStr">
        <is>
          <t>Automotriz</t>
        </is>
      </c>
    </row>
    <row r="31" spans="1:22" ht="135">
      <c r="A31" s="5" t="s">
        <v>126</v>
      </c>
      <c r="B31" s="11" t="s">
        <v>138</v>
      </c>
      <c r="C31" s="5" t="s">
        <v>143</v>
      </c>
      <c r="D31" s="6">
        <v>13706000</v>
      </c>
      <c r="E31" s="5" t="s">
        <v>144</v>
      </c>
      <c r="F31" s="11" t="s">
        <v>145</v>
      </c>
      <c r="G31" s="7">
        <v>100</v>
      </c>
      <c r="H31" s="11" t="s">
        <v>87</v>
      </c>
      <c r="I31" s="7">
        <v>100</v>
      </c>
      <c r="J31" s="11" t="s">
        <v>98</v>
      </c>
      <c r="K31" s="7">
        <v>50</v>
      </c>
      <c r="L31" s="5" t="s">
        <v>32</v>
      </c>
      <c r="M31" s="5" t="str">
        <f>A31&amp;"|"&amp;L31</f>
        <v>N2|En seguimiento</v>
      </c>
      <c r="N31" s="5" t="s">
        <v>33</v>
      </c>
      <c r="O31" s="5" t="str">
        <f t="shared" si="0"/>
        <v>Luisa Escobar</v>
      </c>
      <c r="P31" s="5" t="s">
        <v>34</v>
      </c>
      <c r="Q31" s="8">
        <v>46177</v>
      </c>
      <c r="R31" s="8">
        <v>46198</v>
      </c>
      <c r="S31" s="9" t="s">
        <v>146</v>
      </c>
      <c r="T31" s="6">
        <v>30200000</v>
      </c>
      <c r="U31" s="5" t="s">
        <v>81</v>
      </c>
      <c r="V31" s="5" t="inlineStr">
        <is>
          <t>Salud</t>
        </is>
      </c>
    </row>
    <row r="32" spans="1:22" ht="98.25">
      <c r="A32" s="15" t="s">
        <v>126</v>
      </c>
      <c r="B32" s="15" t="s">
        <v>127</v>
      </c>
      <c r="C32" s="15" t="s">
        <v>147</v>
      </c>
      <c r="D32" s="16">
        <v>150000000</v>
      </c>
      <c r="E32" s="15" t="s">
        <v>148</v>
      </c>
      <c r="F32" s="20" t="s">
        <v>29</v>
      </c>
      <c r="G32" s="17">
        <v>100</v>
      </c>
      <c r="H32" s="20" t="s">
        <v>87</v>
      </c>
      <c r="I32" s="17">
        <v>100</v>
      </c>
      <c r="J32" s="20" t="s">
        <v>98</v>
      </c>
      <c r="K32" s="17">
        <v>100</v>
      </c>
      <c r="L32" s="15" t="s">
        <v>109</v>
      </c>
      <c r="M32" s="15" t="str">
        <f>A32&amp;"|"&amp;L32</f>
        <v>N2|Cerrada</v>
      </c>
      <c r="N32" s="15" t="s">
        <v>33</v>
      </c>
      <c r="O32" s="15" t="str">
        <f t="shared" si="0"/>
        <v>Camilo Prada</v>
      </c>
      <c r="P32" s="15" t="s">
        <v>88</v>
      </c>
      <c r="Q32" s="18">
        <v>46212</v>
      </c>
      <c r="R32" s="18">
        <v>46274</v>
      </c>
      <c r="S32" s="21" t="s">
        <v>149</v>
      </c>
      <c r="T32" s="16">
        <v>150000000</v>
      </c>
      <c r="U32" s="15" t="s">
        <v>76</v>
      </c>
      <c r="V32" s="15" t="inlineStr">
        <is>
          <t>Tecnología</t>
        </is>
      </c>
    </row>
    <row r="33" spans="1:22" ht="98.25">
      <c r="A33" s="5" t="s">
        <v>126</v>
      </c>
      <c r="B33" s="11" t="s">
        <v>138</v>
      </c>
      <c r="C33" s="13" t="s">
        <v>150</v>
      </c>
      <c r="D33" s="6">
        <v>30000000</v>
      </c>
      <c r="E33" s="5" t="s">
        <v>151</v>
      </c>
      <c r="F33" s="11" t="s">
        <v>29</v>
      </c>
      <c r="G33" s="7">
        <v>100</v>
      </c>
      <c r="H33" s="11" t="s">
        <v>87</v>
      </c>
      <c r="I33" s="7">
        <v>100</v>
      </c>
      <c r="J33" s="11" t="s">
        <v>98</v>
      </c>
      <c r="K33" s="7">
        <v>50</v>
      </c>
      <c r="L33" s="5" t="s">
        <v>32</v>
      </c>
      <c r="M33" s="5" t="str">
        <f>A33&amp;"|"&amp;L33</f>
        <v>N2|En seguimiento</v>
      </c>
      <c r="N33" s="5" t="s">
        <v>33</v>
      </c>
      <c r="O33" s="5" t="str">
        <f t="shared" si="0"/>
        <v>Luisa Escobar</v>
      </c>
      <c r="P33" s="5" t="s">
        <v>95</v>
      </c>
      <c r="Q33" s="8">
        <v>46261</v>
      </c>
      <c r="R33" s="8">
        <v>46261</v>
      </c>
      <c r="S33" s="12" t="s">
        <v>152</v>
      </c>
      <c r="T33" s="6">
        <v>30000000</v>
      </c>
      <c r="U33" s="5" t="s">
        <v>76</v>
      </c>
      <c r="V33" s="5" t="inlineStr">
        <is>
          <t>Consumo Masivo</t>
        </is>
      </c>
    </row>
    <row r="34" spans="1:22" ht="98.25">
      <c r="A34" s="5" t="s">
        <v>126</v>
      </c>
      <c r="B34" s="11" t="s">
        <v>138</v>
      </c>
      <c r="C34" s="13" t="s">
        <v>153</v>
      </c>
      <c r="D34" s="6">
        <v>50000000</v>
      </c>
      <c r="E34" s="5" t="s">
        <v>154</v>
      </c>
      <c r="F34" s="11" t="s">
        <v>29</v>
      </c>
      <c r="G34" s="7">
        <v>100</v>
      </c>
      <c r="H34" s="5" t="s">
        <v>87</v>
      </c>
      <c r="I34" s="7">
        <v>100</v>
      </c>
      <c r="J34" s="5" t="s">
        <v>98</v>
      </c>
      <c r="K34" s="7">
        <v>50</v>
      </c>
      <c r="L34" s="5" t="s">
        <v>32</v>
      </c>
      <c r="M34" s="5" t="str">
        <f>A34&amp;"|"&amp;L34</f>
        <v>N2|En seguimiento</v>
      </c>
      <c r="N34" s="5" t="s">
        <v>33</v>
      </c>
      <c r="O34" s="5" t="str">
        <f t="shared" si="0"/>
        <v>Luisa Escobar</v>
      </c>
      <c r="P34" s="5" t="s">
        <v>69</v>
      </c>
      <c r="Q34" s="8">
        <v>46226</v>
      </c>
      <c r="R34" s="8">
        <v>46227</v>
      </c>
      <c r="S34" s="9" t="s">
        <v>155</v>
      </c>
      <c r="T34" s="6">
        <v>50000000</v>
      </c>
      <c r="U34" s="5" t="s">
        <v>76</v>
      </c>
      <c r="V34" s="5" t="inlineStr">
        <is>
          <t>Consumo Masivo</t>
        </is>
      </c>
    </row>
    <row r="35" spans="1:22" ht="98.25">
      <c r="A35" s="5" t="s">
        <v>126</v>
      </c>
      <c r="B35" s="11" t="s">
        <v>156</v>
      </c>
      <c r="C35" s="13" t="s">
        <v>157</v>
      </c>
      <c r="D35" s="6">
        <v>75000000</v>
      </c>
      <c r="E35" s="5" t="s">
        <v>158</v>
      </c>
      <c r="F35" s="11" t="s">
        <v>29</v>
      </c>
      <c r="G35" s="7">
        <v>100</v>
      </c>
      <c r="H35" s="5" t="s">
        <v>87</v>
      </c>
      <c r="I35" s="7">
        <v>100</v>
      </c>
      <c r="J35" s="5" t="s">
        <v>98</v>
      </c>
      <c r="K35" s="7">
        <v>50</v>
      </c>
      <c r="L35" s="5" t="s">
        <v>32</v>
      </c>
      <c r="M35" s="5" t="str">
        <f>A35&amp;"|"&amp;L35</f>
        <v>N2|En seguimiento</v>
      </c>
      <c r="N35" s="5" t="s">
        <v>33</v>
      </c>
      <c r="O35" s="5" t="str">
        <f t="shared" si="0"/>
        <v>Lina Lemus</v>
      </c>
      <c r="P35" s="5" t="s">
        <v>69</v>
      </c>
      <c r="Q35" s="8">
        <v>46225</v>
      </c>
      <c r="R35" s="8">
        <v>46230</v>
      </c>
      <c r="S35" s="9" t="s">
        <v>159</v>
      </c>
      <c r="T35" s="6">
        <v>75000000</v>
      </c>
      <c r="U35" s="5" t="s">
        <v>90</v>
      </c>
      <c r="V35" s="5" t="inlineStr">
        <is>
          <t>Servicios</t>
        </is>
      </c>
    </row>
    <row r="36" spans="1:22" ht="61.5">
      <c r="A36" s="15" t="s">
        <v>126</v>
      </c>
      <c r="B36" s="15" t="s">
        <v>156</v>
      </c>
      <c r="C36" s="15" t="s">
        <v>160</v>
      </c>
      <c r="D36" s="16">
        <v>30000000</v>
      </c>
      <c r="E36" s="20" t="s">
        <v>161</v>
      </c>
      <c r="F36" s="20" t="s">
        <v>87</v>
      </c>
      <c r="G36" s="17">
        <v>100</v>
      </c>
      <c r="H36" s="15" t="s">
        <v>162</v>
      </c>
      <c r="I36" s="17">
        <v>100</v>
      </c>
      <c r="J36" s="15" t="s">
        <v>163</v>
      </c>
      <c r="K36" s="17">
        <v>50</v>
      </c>
      <c r="L36" s="15" t="s">
        <v>109</v>
      </c>
      <c r="M36" s="15" t="str">
        <f>A36&amp;"|"&amp;L36</f>
        <v>N2|Cerrada</v>
      </c>
      <c r="N36" s="22" t="s">
        <v>164</v>
      </c>
      <c r="O36" s="15" t="str">
        <f t="shared" si="0"/>
        <v>Lina Lemus</v>
      </c>
      <c r="P36" s="15" t="s">
        <v>69</v>
      </c>
      <c r="Q36" s="18">
        <v>46204</v>
      </c>
      <c r="R36" s="18">
        <v>46246</v>
      </c>
      <c r="S36" s="19" t="s">
        <v>165</v>
      </c>
      <c r="T36" s="16">
        <v>30000000</v>
      </c>
      <c r="U36" s="15" t="s">
        <v>76</v>
      </c>
      <c r="V36" s="15" t="inlineStr">
        <is>
          <t>Servicios</t>
        </is>
      </c>
    </row>
    <row r="37" spans="1:22" ht="61.5">
      <c r="A37" s="5" t="s">
        <v>166</v>
      </c>
      <c r="B37" s="5" t="s">
        <v>167</v>
      </c>
      <c r="C37" s="5" t="s">
        <v>168</v>
      </c>
      <c r="D37" s="6">
        <v>40000000</v>
      </c>
      <c r="E37" s="5" t="s">
        <v>169</v>
      </c>
      <c r="F37" s="11" t="s">
        <v>29</v>
      </c>
      <c r="G37" s="7">
        <v>100</v>
      </c>
      <c r="H37" s="5" t="s">
        <v>30</v>
      </c>
      <c r="I37" s="7">
        <v>100</v>
      </c>
      <c r="J37" s="5" t="s">
        <v>31</v>
      </c>
      <c r="K37" s="7">
        <v>50</v>
      </c>
      <c r="L37" s="5" t="s">
        <v>32</v>
      </c>
      <c r="M37" s="5" t="str">
        <f>A37&amp;"|"&amp;L37</f>
        <v>N3|En seguimiento</v>
      </c>
      <c r="N37" s="5" t="s">
        <v>33</v>
      </c>
      <c r="O37" s="5" t="str">
        <f t="shared" si="0"/>
        <v>Helen Fajardo</v>
      </c>
      <c r="P37" s="5" t="s">
        <v>34</v>
      </c>
      <c r="Q37" s="8">
        <v>46185</v>
      </c>
      <c r="R37" s="8">
        <v>46185</v>
      </c>
      <c r="S37" s="9" t="s">
        <v>170</v>
      </c>
      <c r="T37" s="6">
        <v>46437280</v>
      </c>
      <c r="U37" s="5" t="s">
        <v>76</v>
      </c>
      <c r="V37" s="5" t="inlineStr">
        <is>
          <t>Educación</t>
        </is>
      </c>
    </row>
    <row r="38" spans="1:22" ht="98.25">
      <c r="A38" s="5" t="s">
        <v>166</v>
      </c>
      <c r="B38" s="11" t="s">
        <v>171</v>
      </c>
      <c r="C38" s="13" t="s">
        <v>172</v>
      </c>
      <c r="D38" s="6">
        <v>15000000</v>
      </c>
      <c r="E38" s="13" t="s">
        <v>173</v>
      </c>
      <c r="F38" s="11" t="s">
        <v>29</v>
      </c>
      <c r="G38" s="7">
        <v>100</v>
      </c>
      <c r="H38" s="5" t="s">
        <v>174</v>
      </c>
      <c r="I38" s="7">
        <v>100</v>
      </c>
      <c r="J38" s="11" t="s">
        <v>98</v>
      </c>
      <c r="K38" s="7">
        <v>50</v>
      </c>
      <c r="L38" s="5" t="s">
        <v>32</v>
      </c>
      <c r="M38" s="5" t="str">
        <f>A38&amp;"|"&amp;L38</f>
        <v>N3|En seguimiento</v>
      </c>
      <c r="N38" s="5" t="s">
        <v>33</v>
      </c>
      <c r="O38" s="5" t="str">
        <f t="shared" si="0"/>
        <v>Laura Melo</v>
      </c>
      <c r="P38" s="5" t="s">
        <v>69</v>
      </c>
      <c r="Q38" s="8">
        <v>46168</v>
      </c>
      <c r="R38" s="8">
        <v>46224</v>
      </c>
      <c r="S38" s="9" t="s">
        <v>175</v>
      </c>
      <c r="T38" s="6">
        <v>15000000</v>
      </c>
      <c r="U38" s="5" t="s">
        <v>81</v>
      </c>
      <c r="V38" s="5" t="inlineStr">
        <is>
          <t>Otros</t>
        </is>
      </c>
    </row>
    <row r="39" spans="1:22" ht="49.5">
      <c r="A39" s="15" t="s">
        <v>166</v>
      </c>
      <c r="B39" s="15" t="s">
        <v>176</v>
      </c>
      <c r="C39" s="15" t="s">
        <v>177</v>
      </c>
      <c r="D39" s="16">
        <v>50000000</v>
      </c>
      <c r="E39" s="15" t="s">
        <v>178</v>
      </c>
      <c r="F39" s="15" t="s">
        <v>179</v>
      </c>
      <c r="G39" s="17">
        <v>100</v>
      </c>
      <c r="H39" s="15" t="s">
        <v>180</v>
      </c>
      <c r="I39" s="17">
        <v>100</v>
      </c>
      <c r="J39" s="15" t="s">
        <v>181</v>
      </c>
      <c r="K39" s="17">
        <v>100</v>
      </c>
      <c r="L39" s="15" t="s">
        <v>182</v>
      </c>
      <c r="M39" s="15" t="str">
        <f>A39&amp;"|"&amp;L39</f>
        <v>N3|cerrada</v>
      </c>
      <c r="N39" s="15" t="s">
        <v>33</v>
      </c>
      <c r="O39" s="15" t="str">
        <f t="shared" si="0"/>
        <v>Diana Andrea Rodiguez</v>
      </c>
      <c r="P39" s="15" t="s">
        <v>34</v>
      </c>
      <c r="Q39" s="18">
        <v>46197</v>
      </c>
      <c r="R39" s="18">
        <v>46316</v>
      </c>
      <c r="S39" s="19" t="s">
        <v>183</v>
      </c>
      <c r="T39" s="16">
        <v>50686060</v>
      </c>
      <c r="U39" s="15" t="s">
        <v>76</v>
      </c>
      <c r="V39" s="15" t="inlineStr">
        <is>
          <t>Consumo Masivo</t>
        </is>
      </c>
    </row>
    <row r="40" spans="1:22" ht="98.25">
      <c r="A40" s="5" t="s">
        <v>166</v>
      </c>
      <c r="B40" s="5" t="s">
        <v>176</v>
      </c>
      <c r="C40" s="5" t="s">
        <v>184</v>
      </c>
      <c r="D40" s="6">
        <v>30000000</v>
      </c>
      <c r="E40" s="11" t="s">
        <v>79</v>
      </c>
      <c r="F40" s="11" t="s">
        <v>87</v>
      </c>
      <c r="G40" s="7">
        <v>100</v>
      </c>
      <c r="H40" s="11" t="s">
        <v>98</v>
      </c>
      <c r="I40" s="7">
        <v>100</v>
      </c>
      <c r="J40" s="5"/>
      <c r="K40" s="7">
        <v>50</v>
      </c>
      <c r="L40" s="5" t="s">
        <v>32</v>
      </c>
      <c r="M40" s="5" t="str">
        <f>A40&amp;"|"&amp;L40</f>
        <v>N3|En seguimiento</v>
      </c>
      <c r="N40" s="5" t="s">
        <v>33</v>
      </c>
      <c r="O40" s="5" t="str">
        <f t="shared" si="0"/>
        <v>Diana Andrea Rodiguez</v>
      </c>
      <c r="P40" s="5" t="s">
        <v>69</v>
      </c>
      <c r="Q40" s="8">
        <v>46211</v>
      </c>
      <c r="R40" s="8">
        <v>46213</v>
      </c>
      <c r="S40" s="9" t="s">
        <v>185</v>
      </c>
      <c r="T40" s="6">
        <v>30000000</v>
      </c>
      <c r="U40" s="5" t="s">
        <v>76</v>
      </c>
      <c r="V40" s="5" t="inlineStr">
        <is>
          <t>Moda</t>
        </is>
      </c>
    </row>
    <row r="41" spans="1:22" ht="49.5">
      <c r="A41" s="15" t="s">
        <v>166</v>
      </c>
      <c r="B41" s="15" t="s">
        <v>186</v>
      </c>
      <c r="C41" s="15" t="s">
        <v>187</v>
      </c>
      <c r="D41" s="16">
        <v>5000000</v>
      </c>
      <c r="E41" s="15" t="s">
        <v>188</v>
      </c>
      <c r="F41" s="15" t="s">
        <v>189</v>
      </c>
      <c r="G41" s="17">
        <v>100</v>
      </c>
      <c r="H41" s="15" t="s">
        <v>190</v>
      </c>
      <c r="I41" s="17">
        <v>100</v>
      </c>
      <c r="J41" s="15"/>
      <c r="K41" s="17">
        <v>100</v>
      </c>
      <c r="L41" s="15" t="s">
        <v>109</v>
      </c>
      <c r="M41" s="15" t="str">
        <f>A41&amp;"|"&amp;L41</f>
        <v>N3|Cerrada</v>
      </c>
      <c r="N41" s="15" t="s">
        <v>164</v>
      </c>
      <c r="O41" s="15" t="str">
        <f t="shared" si="0"/>
        <v>Laura Sofía Calvera</v>
      </c>
      <c r="P41" s="15" t="s">
        <v>34</v>
      </c>
      <c r="Q41" s="18">
        <v>46175</v>
      </c>
      <c r="R41" s="18">
        <v>46175</v>
      </c>
      <c r="S41" s="19" t="s">
        <v>191</v>
      </c>
      <c r="T41" s="16">
        <v>5500000</v>
      </c>
      <c r="U41" s="15" t="s">
        <v>76</v>
      </c>
      <c r="V41" s="15" t="inlineStr">
        <is>
          <t>Automotriz</t>
        </is>
      </c>
    </row>
    <row r="42" spans="1:22" ht="98.25">
      <c r="A42" s="5" t="s">
        <v>166</v>
      </c>
      <c r="B42" s="5" t="s">
        <v>176</v>
      </c>
      <c r="C42" s="5" t="s">
        <v>192</v>
      </c>
      <c r="D42" s="6">
        <v>40000000</v>
      </c>
      <c r="E42" s="5" t="s">
        <v>193</v>
      </c>
      <c r="F42" s="11" t="s">
        <v>29</v>
      </c>
      <c r="G42" s="7">
        <v>100</v>
      </c>
      <c r="H42" s="11" t="s">
        <v>98</v>
      </c>
      <c r="I42" s="7">
        <v>100</v>
      </c>
      <c r="J42" s="5" t="s">
        <v>31</v>
      </c>
      <c r="K42" s="7">
        <v>50</v>
      </c>
      <c r="L42" s="5" t="s">
        <v>32</v>
      </c>
      <c r="M42" s="5" t="str">
        <f>A42&amp;"|"&amp;L42</f>
        <v>N3|En seguimiento</v>
      </c>
      <c r="N42" s="5" t="s">
        <v>164</v>
      </c>
      <c r="O42" s="5" t="str">
        <f t="shared" si="0"/>
        <v>Diana Andrea Rodiguez</v>
      </c>
      <c r="P42" s="5" t="s">
        <v>34</v>
      </c>
      <c r="Q42" s="8"/>
      <c r="R42" s="8">
        <v>46197</v>
      </c>
      <c r="S42" s="9" t="s">
        <v>194</v>
      </c>
      <c r="T42" s="6">
        <v>40000000</v>
      </c>
      <c r="U42" s="5" t="s">
        <v>76</v>
      </c>
      <c r="V42" s="5" t="inlineStr">
        <is>
          <t>Consumo Masivo</t>
        </is>
      </c>
    </row>
    <row r="43" spans="1:22" ht="36.75">
      <c r="A43" s="15" t="s">
        <v>195</v>
      </c>
      <c r="B43" s="15" t="s">
        <v>196</v>
      </c>
      <c r="C43" s="15" t="s">
        <v>197</v>
      </c>
      <c r="D43" s="16">
        <v>200000000</v>
      </c>
      <c r="E43" s="15" t="s">
        <v>198</v>
      </c>
      <c r="F43" s="20" t="s">
        <v>29</v>
      </c>
      <c r="G43" s="17">
        <v>100</v>
      </c>
      <c r="H43" s="15" t="s">
        <v>30</v>
      </c>
      <c r="I43" s="17">
        <v>100</v>
      </c>
      <c r="J43" s="15" t="s">
        <v>31</v>
      </c>
      <c r="K43" s="17">
        <v>100</v>
      </c>
      <c r="L43" s="15" t="s">
        <v>109</v>
      </c>
      <c r="M43" s="15" t="str">
        <f>A43&amp;"|"&amp;L43</f>
        <v>N4|Cerrada</v>
      </c>
      <c r="N43" s="15" t="s">
        <v>33</v>
      </c>
      <c r="O43" s="15" t="str">
        <f t="shared" si="0"/>
        <v>Luis López</v>
      </c>
      <c r="P43" s="15" t="s">
        <v>34</v>
      </c>
      <c r="Q43" s="18">
        <v>46189</v>
      </c>
      <c r="R43" s="18">
        <v>46213</v>
      </c>
      <c r="S43" s="19" t="s">
        <v>199</v>
      </c>
      <c r="T43" s="16">
        <v>200000000</v>
      </c>
      <c r="U43" s="15" t="s">
        <v>76</v>
      </c>
      <c r="V43" s="15" t="inlineStr">
        <is>
          <t>Salud</t>
        </is>
      </c>
    </row>
    <row r="44" spans="1:22" ht="73.5">
      <c r="A44" s="5" t="s">
        <v>195</v>
      </c>
      <c r="B44" s="5" t="s">
        <v>200</v>
      </c>
      <c r="C44" s="23" t="s">
        <v>201</v>
      </c>
      <c r="D44" s="6">
        <v>171075000</v>
      </c>
      <c r="E44" s="5" t="s">
        <v>202</v>
      </c>
      <c r="F44" s="5" t="s">
        <v>203</v>
      </c>
      <c r="G44" s="7">
        <v>100</v>
      </c>
      <c r="H44" s="5"/>
      <c r="I44" s="7">
        <v>100</v>
      </c>
      <c r="J44" s="5"/>
      <c r="K44" s="7">
        <v>50</v>
      </c>
      <c r="L44" s="5" t="s">
        <v>32</v>
      </c>
      <c r="M44" s="5" t="str">
        <f>A44&amp;"|"&amp;L44</f>
        <v>N4|En seguimiento</v>
      </c>
      <c r="N44" s="5" t="s">
        <v>68</v>
      </c>
      <c r="O44" s="5" t="str">
        <f t="shared" si="0"/>
        <v>Gina Tinjacá</v>
      </c>
      <c r="P44" s="5" t="s">
        <v>88</v>
      </c>
      <c r="Q44" s="8">
        <v>46280</v>
      </c>
      <c r="R44" s="8">
        <v>46286</v>
      </c>
      <c r="S44" s="12" t="s">
        <v>204</v>
      </c>
      <c r="T44" s="6">
        <v>171075000</v>
      </c>
      <c r="U44" s="5" t="s">
        <v>90</v>
      </c>
      <c r="V44" s="5" t="inlineStr">
        <is>
          <t>Automotriz</t>
        </is>
      </c>
    </row>
    <row r="45" spans="1:22" ht="49.5">
      <c r="A45" s="5" t="s">
        <v>195</v>
      </c>
      <c r="B45" s="5" t="s">
        <v>200</v>
      </c>
      <c r="C45" s="23" t="s">
        <v>205</v>
      </c>
      <c r="D45" s="6">
        <v>15880000</v>
      </c>
      <c r="E45" s="5" t="s">
        <v>206</v>
      </c>
      <c r="F45" s="5" t="s">
        <v>203</v>
      </c>
      <c r="G45" s="7">
        <v>100</v>
      </c>
      <c r="H45" s="5"/>
      <c r="I45" s="7">
        <v>100</v>
      </c>
      <c r="J45" s="5"/>
      <c r="K45" s="7">
        <v>50</v>
      </c>
      <c r="L45" s="5" t="s">
        <v>32</v>
      </c>
      <c r="M45" s="5" t="str">
        <f>A45&amp;"|"&amp;L45</f>
        <v>N4|En seguimiento</v>
      </c>
      <c r="N45" s="5" t="s">
        <v>68</v>
      </c>
      <c r="O45" s="5" t="str">
        <f t="shared" si="0"/>
        <v>Gina Tinjacá</v>
      </c>
      <c r="P45" s="5" t="s">
        <v>88</v>
      </c>
      <c r="Q45" s="8">
        <v>46280</v>
      </c>
      <c r="R45" s="8">
        <v>46280</v>
      </c>
      <c r="S45" s="12" t="s">
        <v>207</v>
      </c>
      <c r="T45" s="6">
        <v>15880000</v>
      </c>
      <c r="U45" s="5" t="s">
        <v>90</v>
      </c>
      <c r="V45" s="5" t="inlineStr">
        <is>
          <t>Tecnología</t>
        </is>
      </c>
    </row>
    <row r="46" spans="1:22" ht="98.25">
      <c r="A46" s="15" t="s">
        <v>195</v>
      </c>
      <c r="B46" s="15" t="s">
        <v>208</v>
      </c>
      <c r="C46" s="15" t="s">
        <v>209</v>
      </c>
      <c r="D46" s="16">
        <v>15000000</v>
      </c>
      <c r="E46" s="20" t="s">
        <v>79</v>
      </c>
      <c r="F46" s="20" t="s">
        <v>87</v>
      </c>
      <c r="G46" s="17">
        <v>100</v>
      </c>
      <c r="H46" s="20" t="s">
        <v>98</v>
      </c>
      <c r="I46" s="17">
        <v>100</v>
      </c>
      <c r="J46" s="15" t="s">
        <v>108</v>
      </c>
      <c r="K46" s="17">
        <v>100</v>
      </c>
      <c r="L46" s="15" t="s">
        <v>109</v>
      </c>
      <c r="M46" s="15" t="str">
        <f>A46&amp;"|"&amp;L46</f>
        <v>N4|Cerrada</v>
      </c>
      <c r="N46" s="15" t="s">
        <v>33</v>
      </c>
      <c r="O46" s="15" t="str">
        <f t="shared" si="0"/>
        <v>Karen Pérez</v>
      </c>
      <c r="P46" s="15" t="s">
        <v>69</v>
      </c>
      <c r="Q46" s="18">
        <v>46210</v>
      </c>
      <c r="R46" s="18">
        <v>46210</v>
      </c>
      <c r="S46" s="19" t="s">
        <v>210</v>
      </c>
      <c r="T46" s="16">
        <v>15577700</v>
      </c>
      <c r="U46" s="15" t="s">
        <v>76</v>
      </c>
      <c r="V46" s="15" t="inlineStr">
        <is>
          <t>Automotriz</t>
        </is>
      </c>
    </row>
    <row r="47" spans="1:22" ht="61.5">
      <c r="A47" s="15" t="s">
        <v>195</v>
      </c>
      <c r="B47" s="15" t="s">
        <v>208</v>
      </c>
      <c r="C47" s="15" t="s">
        <v>211</v>
      </c>
      <c r="D47" s="16">
        <v>47000000</v>
      </c>
      <c r="E47" s="15" t="s">
        <v>212</v>
      </c>
      <c r="F47" s="20" t="s">
        <v>87</v>
      </c>
      <c r="G47" s="17">
        <v>100</v>
      </c>
      <c r="H47" s="15" t="s">
        <v>213</v>
      </c>
      <c r="I47" s="17">
        <v>100</v>
      </c>
      <c r="J47" s="15"/>
      <c r="K47" s="17">
        <v>100</v>
      </c>
      <c r="L47" s="15" t="s">
        <v>109</v>
      </c>
      <c r="M47" s="15" t="str">
        <f>A47&amp;"|"&amp;L47</f>
        <v>N4|Cerrada</v>
      </c>
      <c r="N47" s="15" t="s">
        <v>33</v>
      </c>
      <c r="O47" s="15" t="str">
        <f t="shared" si="0"/>
        <v>Karen Pérez</v>
      </c>
      <c r="P47" s="15" t="s">
        <v>34</v>
      </c>
      <c r="Q47" s="18">
        <v>46200</v>
      </c>
      <c r="R47" s="18">
        <v>46200</v>
      </c>
      <c r="S47" s="19" t="s">
        <v>43</v>
      </c>
      <c r="T47" s="16">
        <v>48000000</v>
      </c>
      <c r="U47" s="15" t="s">
        <v>76</v>
      </c>
      <c r="V47" s="15" t="inlineStr">
        <is>
          <t>Automotriz</t>
        </is>
      </c>
    </row>
    <row r="48" spans="1:22" ht="147.75">
      <c r="A48" s="5" t="s">
        <v>195</v>
      </c>
      <c r="B48" s="5" t="s">
        <v>208</v>
      </c>
      <c r="C48" s="5" t="s">
        <v>214</v>
      </c>
      <c r="D48" s="6">
        <v>30000000</v>
      </c>
      <c r="E48" s="5" t="s">
        <v>215</v>
      </c>
      <c r="F48" s="5" t="s">
        <v>203</v>
      </c>
      <c r="G48" s="7">
        <v>100</v>
      </c>
      <c r="H48" s="5" t="s">
        <v>216</v>
      </c>
      <c r="I48" s="7">
        <v>100</v>
      </c>
      <c r="J48" s="5"/>
      <c r="K48" s="7">
        <v>50</v>
      </c>
      <c r="L48" s="5" t="s">
        <v>32</v>
      </c>
      <c r="M48" s="5" t="str">
        <f>A48&amp;"|"&amp;L48</f>
        <v>N4|En seguimiento</v>
      </c>
      <c r="N48" s="5" t="s">
        <v>33</v>
      </c>
      <c r="O48" s="5" t="str">
        <f t="shared" si="0"/>
        <v>Karen Pérez</v>
      </c>
      <c r="P48" s="5" t="s">
        <v>69</v>
      </c>
      <c r="Q48" s="8">
        <v>46217</v>
      </c>
      <c r="R48" s="8">
        <v>46217</v>
      </c>
      <c r="S48" s="9" t="s">
        <v>217</v>
      </c>
      <c r="T48" s="6">
        <v>27980000</v>
      </c>
      <c r="U48" s="5" t="s">
        <v>81</v>
      </c>
      <c r="V48" s="5" t="inlineStr">
        <is>
          <t>Moda</t>
        </is>
      </c>
    </row>
    <row r="49" spans="1:22" ht="98.25">
      <c r="A49" s="5" t="s">
        <v>195</v>
      </c>
      <c r="B49" s="5" t="s">
        <v>208</v>
      </c>
      <c r="C49" s="11" t="s">
        <v>218</v>
      </c>
      <c r="D49" s="6">
        <v>15000000</v>
      </c>
      <c r="E49" s="11" t="s">
        <v>219</v>
      </c>
      <c r="F49" s="11" t="s">
        <v>87</v>
      </c>
      <c r="G49" s="7">
        <v>100</v>
      </c>
      <c r="H49" s="11" t="s">
        <v>98</v>
      </c>
      <c r="I49" s="7">
        <v>100</v>
      </c>
      <c r="J49" s="5"/>
      <c r="K49" s="7">
        <v>50</v>
      </c>
      <c r="L49" s="5" t="s">
        <v>32</v>
      </c>
      <c r="M49" s="5" t="str">
        <f>A49&amp;"|"&amp;L49</f>
        <v>N4|En seguimiento</v>
      </c>
      <c r="N49" s="5" t="s">
        <v>33</v>
      </c>
      <c r="O49" s="5" t="str">
        <f t="shared" si="0"/>
        <v>Karen Pérez</v>
      </c>
      <c r="P49" s="5" t="s">
        <v>69</v>
      </c>
      <c r="Q49" s="8">
        <v>46217</v>
      </c>
      <c r="R49" s="8">
        <v>46218</v>
      </c>
      <c r="S49" s="9" t="s">
        <v>220</v>
      </c>
      <c r="T49" s="6">
        <v>10300000</v>
      </c>
      <c r="U49" s="5" t="s">
        <v>81</v>
      </c>
      <c r="V49" s="5" t="inlineStr">
        <is>
          <t>Educación</t>
        </is>
      </c>
    </row>
    <row r="50" spans="1:22" ht="76.5" customHeight="1">
      <c r="A50" s="5" t="s">
        <v>221</v>
      </c>
      <c r="B50" s="13" t="s">
        <v>222</v>
      </c>
      <c r="C50" s="5" t="s">
        <v>223</v>
      </c>
      <c r="D50" s="6">
        <v>45700000</v>
      </c>
      <c r="E50" s="5" t="s">
        <v>224</v>
      </c>
      <c r="F50" s="11" t="s">
        <v>225</v>
      </c>
      <c r="G50" s="7">
        <v>100</v>
      </c>
      <c r="H50" s="11" t="s">
        <v>98</v>
      </c>
      <c r="I50" s="7">
        <v>100</v>
      </c>
      <c r="J50" s="7"/>
      <c r="K50" s="7">
        <v>50</v>
      </c>
      <c r="L50" s="5" t="s">
        <v>32</v>
      </c>
      <c r="M50" s="5" t="str">
        <f>A50&amp;"|"&amp;L50</f>
        <v>N5|En seguimiento</v>
      </c>
      <c r="N50" s="5" t="s">
        <v>68</v>
      </c>
      <c r="O50" s="5" t="str">
        <f t="shared" si="0"/>
        <v>Luz Karime Hernandez</v>
      </c>
      <c r="P50" s="5" t="s">
        <v>34</v>
      </c>
      <c r="Q50" s="8">
        <v>46203</v>
      </c>
      <c r="R50" s="8">
        <v>46203</v>
      </c>
      <c r="S50" s="9" t="s">
        <v>226</v>
      </c>
      <c r="T50" s="6">
        <v>24664200</v>
      </c>
      <c r="U50" s="5" t="s">
        <v>81</v>
      </c>
      <c r="V50" s="5" t="inlineStr">
        <is>
          <t>Salud</t>
        </is>
      </c>
    </row>
    <row r="51" spans="1:22" ht="61.5">
      <c r="A51" s="5" t="s">
        <v>221</v>
      </c>
      <c r="B51" s="13" t="s">
        <v>227</v>
      </c>
      <c r="C51" s="5" t="s">
        <v>228</v>
      </c>
      <c r="D51" s="6">
        <v>64600000</v>
      </c>
      <c r="E51" s="5" t="s">
        <v>229</v>
      </c>
      <c r="F51" s="11" t="s">
        <v>87</v>
      </c>
      <c r="G51" s="7">
        <v>100</v>
      </c>
      <c r="H51" s="5"/>
      <c r="I51" s="7">
        <v>100</v>
      </c>
      <c r="J51" s="5"/>
      <c r="K51" s="7">
        <v>50</v>
      </c>
      <c r="L51" s="5" t="s">
        <v>32</v>
      </c>
      <c r="M51" s="5" t="str">
        <f>A51&amp;"|"&amp;L51</f>
        <v>N5|En seguimiento</v>
      </c>
      <c r="N51" s="5" t="s">
        <v>68</v>
      </c>
      <c r="O51" s="5" t="str">
        <f t="shared" si="0"/>
        <v>Ana Maria Castañeda</v>
      </c>
      <c r="P51" s="5" t="s">
        <v>88</v>
      </c>
      <c r="Q51" s="8">
        <v>46275</v>
      </c>
      <c r="R51" s="8">
        <v>46275</v>
      </c>
      <c r="S51" s="9" t="s">
        <v>230</v>
      </c>
      <c r="T51" s="6">
        <v>64600000</v>
      </c>
      <c r="U51" s="5" t="s">
        <v>90</v>
      </c>
      <c r="V51" s="5" t="inlineStr">
        <is>
          <t>Inmobiliario</t>
        </is>
      </c>
    </row>
    <row r="52" spans="1:22" ht="61.5">
      <c r="A52" s="5" t="s">
        <v>221</v>
      </c>
      <c r="B52" s="13" t="s">
        <v>227</v>
      </c>
      <c r="C52" s="5" t="s">
        <v>231</v>
      </c>
      <c r="D52" s="6">
        <v>64600000</v>
      </c>
      <c r="E52" s="5" t="s">
        <v>229</v>
      </c>
      <c r="F52" s="11" t="s">
        <v>87</v>
      </c>
      <c r="G52" s="7">
        <v>100</v>
      </c>
      <c r="H52" s="5"/>
      <c r="I52" s="7">
        <v>100</v>
      </c>
      <c r="J52" s="5"/>
      <c r="K52" s="7">
        <v>50</v>
      </c>
      <c r="L52" s="5" t="s">
        <v>32</v>
      </c>
      <c r="M52" s="5" t="str">
        <f>A52&amp;"|"&amp;L52</f>
        <v>N5|En seguimiento</v>
      </c>
      <c r="N52" s="5" t="s">
        <v>68</v>
      </c>
      <c r="O52" s="5" t="str">
        <f t="shared" si="0"/>
        <v>Ana Maria Castañeda</v>
      </c>
      <c r="P52" s="5" t="s">
        <v>232</v>
      </c>
      <c r="Q52" s="8">
        <v>46300</v>
      </c>
      <c r="R52" s="8">
        <v>46300</v>
      </c>
      <c r="S52" s="12" t="s">
        <v>233</v>
      </c>
      <c r="T52" s="6">
        <v>64600000</v>
      </c>
      <c r="U52" s="5" t="s">
        <v>90</v>
      </c>
      <c r="V52" s="5" t="inlineStr">
        <is>
          <t>Inmobiliario</t>
        </is>
      </c>
    </row>
    <row r="53" spans="1:22" ht="110.25">
      <c r="A53" s="5" t="s">
        <v>221</v>
      </c>
      <c r="B53" s="13" t="s">
        <v>234</v>
      </c>
      <c r="C53" s="5" t="s">
        <v>235</v>
      </c>
      <c r="D53" s="6">
        <v>15880000</v>
      </c>
      <c r="E53" s="11" t="s">
        <v>236</v>
      </c>
      <c r="F53" s="11" t="s">
        <v>87</v>
      </c>
      <c r="G53" s="7">
        <v>100</v>
      </c>
      <c r="H53" s="11" t="s">
        <v>98</v>
      </c>
      <c r="I53" s="7">
        <v>100</v>
      </c>
      <c r="J53" s="5"/>
      <c r="K53" s="7">
        <v>50</v>
      </c>
      <c r="L53" s="5" t="s">
        <v>32</v>
      </c>
      <c r="M53" s="5" t="str">
        <f>A53&amp;"|"&amp;L53</f>
        <v>N5|En seguimiento</v>
      </c>
      <c r="N53" s="5" t="s">
        <v>68</v>
      </c>
      <c r="O53" s="5" t="str">
        <f t="shared" si="0"/>
        <v xml:space="preserve">Raul Herrera </v>
      </c>
      <c r="P53" s="5" t="s">
        <v>88</v>
      </c>
      <c r="Q53" s="8">
        <v>46267</v>
      </c>
      <c r="R53" s="8">
        <v>46267</v>
      </c>
      <c r="S53" s="9" t="s">
        <v>237</v>
      </c>
      <c r="T53" s="6">
        <v>15880000</v>
      </c>
      <c r="U53" s="5" t="s">
        <v>90</v>
      </c>
      <c r="V53" s="5" t="inlineStr">
        <is>
          <t>Viajes</t>
        </is>
      </c>
    </row>
    <row r="54" spans="1:22" ht="98.25">
      <c r="A54" s="5" t="s">
        <v>221</v>
      </c>
      <c r="B54" s="5" t="s">
        <v>238</v>
      </c>
      <c r="C54" s="5" t="s">
        <v>239</v>
      </c>
      <c r="D54" s="6">
        <v>50000000</v>
      </c>
      <c r="E54" s="5" t="s">
        <v>240</v>
      </c>
      <c r="F54" s="11" t="s">
        <v>29</v>
      </c>
      <c r="G54" s="7">
        <v>100</v>
      </c>
      <c r="H54" s="11" t="s">
        <v>98</v>
      </c>
      <c r="I54" s="7">
        <v>100</v>
      </c>
      <c r="J54" s="5" t="s">
        <v>42</v>
      </c>
      <c r="K54" s="7">
        <v>50</v>
      </c>
      <c r="L54" s="5" t="s">
        <v>32</v>
      </c>
      <c r="M54" s="5" t="str">
        <f>A54&amp;"|"&amp;L54</f>
        <v>N5|En seguimiento</v>
      </c>
      <c r="N54" s="5" t="s">
        <v>164</v>
      </c>
      <c r="O54" s="5" t="str">
        <f t="shared" si="0"/>
        <v>Carol Beltran</v>
      </c>
      <c r="P54" s="5" t="s">
        <v>34</v>
      </c>
      <c r="Q54" s="8">
        <v>46174</v>
      </c>
      <c r="R54" s="8">
        <v>46174</v>
      </c>
      <c r="S54" s="9" t="s">
        <v>241</v>
      </c>
      <c r="T54" s="6">
        <v>60000000</v>
      </c>
      <c r="U54" s="5" t="s">
        <v>76</v>
      </c>
      <c r="V54" s="5" t="inlineStr">
        <is>
          <t>Moda</t>
        </is>
      </c>
    </row>
    <row r="55" spans="1:22" ht="98.25">
      <c r="A55" s="15" t="s">
        <v>221</v>
      </c>
      <c r="B55" s="15" t="s">
        <v>238</v>
      </c>
      <c r="C55" s="15" t="s">
        <v>242</v>
      </c>
      <c r="D55" s="16">
        <v>20000000</v>
      </c>
      <c r="E55" s="15" t="s">
        <v>50</v>
      </c>
      <c r="F55" s="20" t="s">
        <v>29</v>
      </c>
      <c r="G55" s="17">
        <v>100</v>
      </c>
      <c r="H55" s="20" t="s">
        <v>98</v>
      </c>
      <c r="I55" s="17">
        <v>100</v>
      </c>
      <c r="J55" s="15" t="s">
        <v>31</v>
      </c>
      <c r="K55" s="17">
        <v>100</v>
      </c>
      <c r="L55" s="15" t="s">
        <v>109</v>
      </c>
      <c r="M55" s="15" t="str">
        <f>A55&amp;"|"&amp;L55</f>
        <v>N5|Cerrada</v>
      </c>
      <c r="N55" s="15" t="s">
        <v>164</v>
      </c>
      <c r="O55" s="15" t="str">
        <f t="shared" si="0"/>
        <v>Carol Beltran</v>
      </c>
      <c r="P55" s="15" t="s">
        <v>34</v>
      </c>
      <c r="Q55" s="18">
        <v>46182</v>
      </c>
      <c r="R55" s="18">
        <v>46182</v>
      </c>
      <c r="S55" s="21" t="s">
        <v>243</v>
      </c>
      <c r="T55" s="16">
        <v>18000000</v>
      </c>
      <c r="U55" s="15" t="s">
        <v>76</v>
      </c>
      <c r="V55" s="15" t="inlineStr">
        <is>
          <t>Consumo Masivo</t>
        </is>
      </c>
    </row>
    <row r="56" spans="1:22" ht="98.25">
      <c r="A56" s="5" t="s">
        <v>221</v>
      </c>
      <c r="B56" s="5" t="s">
        <v>238</v>
      </c>
      <c r="C56" s="5" t="s">
        <v>244</v>
      </c>
      <c r="D56" s="6">
        <v>40000000</v>
      </c>
      <c r="E56" s="5" t="s">
        <v>245</v>
      </c>
      <c r="F56" s="11" t="s">
        <v>29</v>
      </c>
      <c r="G56" s="7">
        <v>100</v>
      </c>
      <c r="H56" s="11" t="s">
        <v>98</v>
      </c>
      <c r="I56" s="7">
        <v>100</v>
      </c>
      <c r="J56" s="5" t="s">
        <v>31</v>
      </c>
      <c r="K56" s="7">
        <v>50</v>
      </c>
      <c r="L56" s="5" t="s">
        <v>32</v>
      </c>
      <c r="M56" s="5" t="str">
        <f>A56&amp;"|"&amp;L56</f>
        <v>N5|En seguimiento</v>
      </c>
      <c r="N56" s="5" t="s">
        <v>33</v>
      </c>
      <c r="O56" s="5" t="str">
        <f t="shared" si="0"/>
        <v>Carol Beltran</v>
      </c>
      <c r="P56" s="5" t="s">
        <v>34</v>
      </c>
      <c r="Q56" s="8">
        <v>46199</v>
      </c>
      <c r="R56" s="8">
        <v>46195</v>
      </c>
      <c r="S56" s="9" t="s">
        <v>246</v>
      </c>
      <c r="T56" s="6">
        <v>45000000</v>
      </c>
      <c r="U56" s="5" t="s">
        <v>76</v>
      </c>
      <c r="V56" s="5" t="inlineStr">
        <is>
          <t>Consumo Masivo</t>
        </is>
      </c>
    </row>
    <row r="57" spans="1:22" ht="24.75">
      <c r="A57" s="15" t="s">
        <v>221</v>
      </c>
      <c r="B57" s="20" t="s">
        <v>227</v>
      </c>
      <c r="C57" s="24" t="s">
        <v>247</v>
      </c>
      <c r="D57" s="16">
        <v>30000000</v>
      </c>
      <c r="E57" s="15"/>
      <c r="F57" s="20" t="s">
        <v>29</v>
      </c>
      <c r="G57" s="17">
        <v>100</v>
      </c>
      <c r="H57" s="15" t="s">
        <v>174</v>
      </c>
      <c r="I57" s="17">
        <v>100</v>
      </c>
      <c r="J57" s="15" t="s">
        <v>248</v>
      </c>
      <c r="K57" s="17">
        <v>100</v>
      </c>
      <c r="L57" s="15" t="s">
        <v>109</v>
      </c>
      <c r="M57" s="15" t="str">
        <f>A57&amp;"|"&amp;L57</f>
        <v>N5|Cerrada</v>
      </c>
      <c r="N57" s="15" t="s">
        <v>68</v>
      </c>
      <c r="O57" s="15" t="str">
        <f t="shared" si="0"/>
        <v>Ana Maria Castañeda</v>
      </c>
      <c r="P57" s="15" t="s">
        <v>34</v>
      </c>
      <c r="Q57" s="18"/>
      <c r="R57" s="18"/>
      <c r="S57" s="21" t="s">
        <v>243</v>
      </c>
      <c r="T57" s="16">
        <v>30000000</v>
      </c>
      <c r="U57" s="15" t="s">
        <v>76</v>
      </c>
      <c r="V57" s="15" t="inlineStr">
        <is>
          <t>Moda</t>
        </is>
      </c>
    </row>
    <row r="58" spans="1:22" ht="98.25">
      <c r="A58" s="15" t="s">
        <v>221</v>
      </c>
      <c r="B58" s="15" t="s">
        <v>234</v>
      </c>
      <c r="C58" s="15" t="s">
        <v>249</v>
      </c>
      <c r="D58" s="16">
        <v>80000000</v>
      </c>
      <c r="E58" s="20" t="s">
        <v>236</v>
      </c>
      <c r="F58" s="20" t="s">
        <v>87</v>
      </c>
      <c r="G58" s="17">
        <v>100</v>
      </c>
      <c r="H58" s="20" t="s">
        <v>98</v>
      </c>
      <c r="I58" s="17">
        <v>100</v>
      </c>
      <c r="J58" s="15"/>
      <c r="K58" s="17">
        <v>50</v>
      </c>
      <c r="L58" s="15" t="s">
        <v>109</v>
      </c>
      <c r="M58" s="15" t="str">
        <f>A58&amp;"|"&amp;L58</f>
        <v>N5|Cerrada</v>
      </c>
      <c r="N58" s="15" t="s">
        <v>33</v>
      </c>
      <c r="O58" s="15" t="str">
        <f t="shared" si="0"/>
        <v xml:space="preserve">Raul Herrera </v>
      </c>
      <c r="P58" s="15" t="s">
        <v>88</v>
      </c>
      <c r="Q58" s="18">
        <v>46315</v>
      </c>
      <c r="R58" s="18">
        <v>46318</v>
      </c>
      <c r="S58" s="19" t="s">
        <v>250</v>
      </c>
      <c r="T58" s="16">
        <v>80000000</v>
      </c>
      <c r="U58" s="15" t="s">
        <v>90</v>
      </c>
      <c r="V58" s="15" t="inlineStr">
        <is>
          <t>Viajes</t>
        </is>
      </c>
    </row>
    <row r="59" spans="1:22" ht="98.25">
      <c r="A59" s="5" t="s">
        <v>221</v>
      </c>
      <c r="B59" s="5" t="s">
        <v>238</v>
      </c>
      <c r="C59" s="5" t="s">
        <v>251</v>
      </c>
      <c r="D59" s="6">
        <v>8000000</v>
      </c>
      <c r="E59" s="11" t="s">
        <v>252</v>
      </c>
      <c r="F59" s="11" t="s">
        <v>87</v>
      </c>
      <c r="G59" s="7">
        <v>100</v>
      </c>
      <c r="H59" s="11" t="s">
        <v>98</v>
      </c>
      <c r="I59" s="7">
        <v>100</v>
      </c>
      <c r="J59" s="5"/>
      <c r="K59" s="7">
        <v>50</v>
      </c>
      <c r="L59" s="5" t="s">
        <v>32</v>
      </c>
      <c r="M59" s="5" t="str">
        <f>A59&amp;"|"&amp;L59</f>
        <v>N5|En seguimiento</v>
      </c>
      <c r="N59" s="5" t="s">
        <v>33</v>
      </c>
      <c r="O59" s="5" t="str">
        <f t="shared" si="0"/>
        <v>Carol Beltran</v>
      </c>
      <c r="P59" s="5" t="s">
        <v>69</v>
      </c>
      <c r="Q59" s="8">
        <v>46210</v>
      </c>
      <c r="R59" s="8">
        <v>46210</v>
      </c>
      <c r="S59" s="9" t="s">
        <v>253</v>
      </c>
      <c r="T59" s="6">
        <v>8500000</v>
      </c>
      <c r="U59" s="5" t="s">
        <v>81</v>
      </c>
      <c r="V59" s="5" t="inlineStr">
        <is>
          <t>Banca</t>
        </is>
      </c>
    </row>
    <row r="60" spans="1:22" ht="98.25">
      <c r="A60" s="5" t="s">
        <v>221</v>
      </c>
      <c r="B60" s="5" t="s">
        <v>238</v>
      </c>
      <c r="C60" s="5" t="s">
        <v>254</v>
      </c>
      <c r="D60" s="6">
        <v>40000000</v>
      </c>
      <c r="E60" s="5" t="s">
        <v>255</v>
      </c>
      <c r="F60" s="11" t="s">
        <v>87</v>
      </c>
      <c r="G60" s="7">
        <v>100</v>
      </c>
      <c r="H60" s="11" t="s">
        <v>98</v>
      </c>
      <c r="I60" s="7">
        <v>100</v>
      </c>
      <c r="J60" s="5"/>
      <c r="K60" s="7">
        <v>50</v>
      </c>
      <c r="L60" s="5" t="s">
        <v>32</v>
      </c>
      <c r="M60" s="5" t="str">
        <f>A60&amp;"|"&amp;L60</f>
        <v>N5|En seguimiento</v>
      </c>
      <c r="N60" s="5" t="s">
        <v>33</v>
      </c>
      <c r="O60" s="5" t="str">
        <f t="shared" si="0"/>
        <v>Carol Beltran</v>
      </c>
      <c r="P60" s="5" t="s">
        <v>69</v>
      </c>
      <c r="Q60" s="8">
        <v>46213</v>
      </c>
      <c r="R60" s="8">
        <v>46218</v>
      </c>
      <c r="S60" s="9" t="s">
        <v>256</v>
      </c>
      <c r="T60" s="6">
        <v>45000000</v>
      </c>
      <c r="U60" s="5" t="s">
        <v>76</v>
      </c>
      <c r="V60" s="5" t="inlineStr">
        <is>
          <t>Consumo Masivo</t>
        </is>
      </c>
    </row>
    <row r="61" spans="1:22" ht="98.25">
      <c r="A61" s="5" t="s">
        <v>221</v>
      </c>
      <c r="B61" s="5" t="s">
        <v>222</v>
      </c>
      <c r="C61" s="5" t="s">
        <v>257</v>
      </c>
      <c r="D61" s="6">
        <v>48000000</v>
      </c>
      <c r="E61" s="5" t="s">
        <v>258</v>
      </c>
      <c r="F61" s="5" t="s">
        <v>87</v>
      </c>
      <c r="G61" s="7">
        <v>100</v>
      </c>
      <c r="H61" s="5" t="s">
        <v>98</v>
      </c>
      <c r="I61" s="7">
        <v>100</v>
      </c>
      <c r="J61" s="5"/>
      <c r="K61" s="7">
        <v>50</v>
      </c>
      <c r="L61" s="5" t="s">
        <v>32</v>
      </c>
      <c r="M61" s="5" t="str">
        <f>A61&amp;"|"&amp;L61</f>
        <v>N5|En seguimiento</v>
      </c>
      <c r="N61" s="25" t="s">
        <v>164</v>
      </c>
      <c r="O61" s="5" t="str">
        <f t="shared" si="0"/>
        <v>Luz Karime Hernandez</v>
      </c>
      <c r="P61" s="5" t="s">
        <v>69</v>
      </c>
      <c r="Q61" s="8">
        <v>46220</v>
      </c>
      <c r="R61" s="8">
        <v>46220</v>
      </c>
      <c r="S61" s="9" t="s">
        <v>259</v>
      </c>
      <c r="T61" s="6">
        <v>48000000</v>
      </c>
      <c r="U61" s="5" t="s">
        <v>81</v>
      </c>
      <c r="V61" s="5" t="inlineStr">
        <is>
          <t>Tecnología</t>
        </is>
      </c>
    </row>
    <row r="62" spans="1:22" ht="98.25">
      <c r="A62" s="5" t="s">
        <v>195</v>
      </c>
      <c r="B62" s="5" t="s">
        <v>208</v>
      </c>
      <c r="C62" s="5" t="s">
        <v>260</v>
      </c>
      <c r="D62" s="6">
        <v>42000000</v>
      </c>
      <c r="E62" s="5" t="s">
        <v>261</v>
      </c>
      <c r="F62" s="11" t="s">
        <v>87</v>
      </c>
      <c r="G62" s="7">
        <v>100</v>
      </c>
      <c r="H62" s="11" t="s">
        <v>98</v>
      </c>
      <c r="I62" s="7">
        <v>100</v>
      </c>
      <c r="J62" s="5" t="s">
        <v>262</v>
      </c>
      <c r="K62" s="7">
        <v>50</v>
      </c>
      <c r="L62" s="5" t="s">
        <v>32</v>
      </c>
      <c r="M62" s="5" t="str">
        <f>A62&amp;"|"&amp;L62</f>
        <v>N4|En seguimiento</v>
      </c>
      <c r="N62" s="5" t="s">
        <v>33</v>
      </c>
      <c r="O62" s="5" t="str">
        <f t="shared" si="0"/>
        <v>Karen Pérez</v>
      </c>
      <c r="P62" s="5" t="s">
        <v>69</v>
      </c>
      <c r="Q62" s="8">
        <v>46226</v>
      </c>
      <c r="R62" s="8">
        <v>46227</v>
      </c>
      <c r="S62" s="9" t="s">
        <v>263</v>
      </c>
      <c r="T62" s="6">
        <v>40000000</v>
      </c>
      <c r="U62" s="5" t="s">
        <v>76</v>
      </c>
      <c r="V62" s="5" t="inlineStr">
        <is>
          <t>Inmobiliario</t>
        </is>
      </c>
    </row>
    <row r="63" spans="1:22" ht="98.25">
      <c r="A63" s="5" t="s">
        <v>195</v>
      </c>
      <c r="B63" s="5" t="s">
        <v>264</v>
      </c>
      <c r="C63" s="5" t="s">
        <v>265</v>
      </c>
      <c r="D63" s="6">
        <v>28800000</v>
      </c>
      <c r="E63" s="11" t="s">
        <v>266</v>
      </c>
      <c r="F63" s="11" t="s">
        <v>87</v>
      </c>
      <c r="G63" s="7">
        <v>100</v>
      </c>
      <c r="H63" s="11" t="s">
        <v>98</v>
      </c>
      <c r="I63" s="7">
        <v>100</v>
      </c>
      <c r="J63" s="5"/>
      <c r="K63" s="7">
        <v>50</v>
      </c>
      <c r="L63" s="5" t="s">
        <v>32</v>
      </c>
      <c r="M63" s="5" t="str">
        <f>A63&amp;"|"&amp;L63</f>
        <v>N4|En seguimiento</v>
      </c>
      <c r="N63" s="5" t="s">
        <v>33</v>
      </c>
      <c r="O63" s="5" t="str">
        <f t="shared" si="0"/>
        <v>Mauricio Agudelo</v>
      </c>
      <c r="P63" s="5" t="s">
        <v>69</v>
      </c>
      <c r="Q63" s="8">
        <v>46226</v>
      </c>
      <c r="R63" s="8">
        <v>46226</v>
      </c>
      <c r="S63" s="12" t="s">
        <v>267</v>
      </c>
      <c r="T63" s="6">
        <v>28800000</v>
      </c>
      <c r="U63" s="5" t="s">
        <v>81</v>
      </c>
      <c r="V63" s="5" t="inlineStr">
        <is>
          <t>Viajes</t>
        </is>
      </c>
    </row>
    <row r="64" spans="1:22" ht="208.5">
      <c r="A64" s="5" t="s">
        <v>195</v>
      </c>
      <c r="B64" s="5" t="s">
        <v>264</v>
      </c>
      <c r="C64" s="5" t="s">
        <v>268</v>
      </c>
      <c r="D64" s="6">
        <v>40000000</v>
      </c>
      <c r="E64" s="11" t="s">
        <v>269</v>
      </c>
      <c r="F64" s="11" t="s">
        <v>87</v>
      </c>
      <c r="G64" s="7">
        <v>100</v>
      </c>
      <c r="H64" s="11" t="s">
        <v>98</v>
      </c>
      <c r="I64" s="7">
        <v>100</v>
      </c>
      <c r="J64" s="5"/>
      <c r="K64" s="7">
        <v>50</v>
      </c>
      <c r="L64" s="5" t="s">
        <v>32</v>
      </c>
      <c r="M64" s="5" t="str">
        <f>A64&amp;"|"&amp;L64</f>
        <v>N4|En seguimiento</v>
      </c>
      <c r="N64" s="5" t="s">
        <v>33</v>
      </c>
      <c r="O64" s="5" t="str">
        <f t="shared" si="0"/>
        <v>Mauricio Agudelo</v>
      </c>
      <c r="P64" s="5" t="s">
        <v>69</v>
      </c>
      <c r="Q64" s="8">
        <v>46226</v>
      </c>
      <c r="R64" s="8">
        <v>46226</v>
      </c>
      <c r="S64" s="9" t="s">
        <v>270</v>
      </c>
      <c r="T64" s="6">
        <v>43000000</v>
      </c>
      <c r="U64" s="5" t="s">
        <v>81</v>
      </c>
      <c r="V64" s="5" t="inlineStr">
        <is>
          <t>Consumo Masivo</t>
        </is>
      </c>
    </row>
    <row r="65" spans="1:22" ht="98.25">
      <c r="A65" s="5" t="s">
        <v>195</v>
      </c>
      <c r="B65" s="5" t="s">
        <v>208</v>
      </c>
      <c r="C65" s="5" t="s">
        <v>271</v>
      </c>
      <c r="D65" s="6">
        <v>23568560</v>
      </c>
      <c r="E65" s="11" t="s">
        <v>272</v>
      </c>
      <c r="F65" s="11" t="s">
        <v>87</v>
      </c>
      <c r="G65" s="7">
        <v>100</v>
      </c>
      <c r="H65" s="11" t="s">
        <v>98</v>
      </c>
      <c r="I65" s="7">
        <v>100</v>
      </c>
      <c r="J65" s="5"/>
      <c r="K65" s="7">
        <v>50</v>
      </c>
      <c r="L65" s="5" t="s">
        <v>32</v>
      </c>
      <c r="M65" s="5" t="str">
        <f>A65&amp;"|"&amp;L65</f>
        <v>N4|En seguimiento</v>
      </c>
      <c r="N65" s="5" t="s">
        <v>33</v>
      </c>
      <c r="O65" s="5" t="str">
        <f t="shared" si="0"/>
        <v>Karen Pérez</v>
      </c>
      <c r="P65" s="5" t="s">
        <v>69</v>
      </c>
      <c r="Q65" s="8">
        <v>46231</v>
      </c>
      <c r="R65" s="8">
        <v>46233</v>
      </c>
      <c r="S65" s="9" t="s">
        <v>273</v>
      </c>
      <c r="T65" s="6">
        <v>23568560</v>
      </c>
      <c r="U65" s="5" t="s">
        <v>90</v>
      </c>
      <c r="V65" s="5" t="inlineStr">
        <is>
          <t>Banca</t>
        </is>
      </c>
    </row>
    <row r="66" spans="1:22" ht="98.25">
      <c r="A66" s="5" t="s">
        <v>166</v>
      </c>
      <c r="B66" s="5" t="s">
        <v>171</v>
      </c>
      <c r="C66" s="5" t="s">
        <v>274</v>
      </c>
      <c r="D66" s="6">
        <v>31357000</v>
      </c>
      <c r="E66" s="11" t="s">
        <v>275</v>
      </c>
      <c r="F66" s="11" t="s">
        <v>87</v>
      </c>
      <c r="G66" s="7">
        <v>100</v>
      </c>
      <c r="H66" s="11" t="s">
        <v>98</v>
      </c>
      <c r="I66" s="7">
        <v>100</v>
      </c>
      <c r="J66" s="5" t="s">
        <v>276</v>
      </c>
      <c r="K66" s="7">
        <v>100</v>
      </c>
      <c r="L66" s="5" t="s">
        <v>32</v>
      </c>
      <c r="M66" s="5" t="str">
        <f>A66&amp;"|"&amp;L66</f>
        <v>N3|En seguimiento</v>
      </c>
      <c r="N66" s="5" t="s">
        <v>33</v>
      </c>
      <c r="O66" s="5" t="str">
        <f t="shared" si="0"/>
        <v>Laura Melo</v>
      </c>
      <c r="P66" s="5" t="s">
        <v>88</v>
      </c>
      <c r="Q66" s="8">
        <v>46269</v>
      </c>
      <c r="R66" s="8">
        <v>46273</v>
      </c>
      <c r="S66" s="12" t="s">
        <v>277</v>
      </c>
      <c r="T66" s="6">
        <v>31357000</v>
      </c>
      <c r="U66" s="5" t="s">
        <v>90</v>
      </c>
      <c r="V66" s="5" t="inlineStr">
        <is>
          <t>Entretenimiento</t>
        </is>
      </c>
    </row>
    <row r="67" spans="1:22" ht="98.25">
      <c r="A67" s="5" t="s">
        <v>166</v>
      </c>
      <c r="B67" s="11" t="s">
        <v>278</v>
      </c>
      <c r="C67" s="5" t="s">
        <v>279</v>
      </c>
      <c r="D67" s="14">
        <v>42950000</v>
      </c>
      <c r="E67" s="11" t="s">
        <v>280</v>
      </c>
      <c r="F67" s="11" t="s">
        <v>87</v>
      </c>
      <c r="G67" s="7">
        <v>100</v>
      </c>
      <c r="H67" s="11" t="s">
        <v>98</v>
      </c>
      <c r="I67" s="7">
        <v>100</v>
      </c>
      <c r="J67" s="5"/>
      <c r="K67" s="7">
        <v>50</v>
      </c>
      <c r="L67" s="5" t="s">
        <v>32</v>
      </c>
      <c r="M67" s="5" t="str">
        <f>A67&amp;"|"&amp;L67</f>
        <v>N3|En seguimiento</v>
      </c>
      <c r="N67" s="5" t="s">
        <v>33</v>
      </c>
      <c r="O67" s="5" t="str">
        <f t="shared" ref="O67:O130" si="1">B67</f>
        <v>Elsa Cortez</v>
      </c>
      <c r="P67" s="5" t="s">
        <v>69</v>
      </c>
      <c r="Q67" s="8">
        <v>46215</v>
      </c>
      <c r="R67" s="8">
        <v>46216</v>
      </c>
      <c r="S67" s="12" t="s">
        <v>281</v>
      </c>
      <c r="T67" s="14">
        <v>42950000</v>
      </c>
      <c r="U67" s="5" t="s">
        <v>90</v>
      </c>
      <c r="V67" s="5" t="inlineStr">
        <is>
          <t>Tecnología</t>
        </is>
      </c>
    </row>
    <row r="68" spans="1:22" ht="98.25">
      <c r="A68" s="5" t="s">
        <v>71</v>
      </c>
      <c r="B68" s="11" t="s">
        <v>72</v>
      </c>
      <c r="C68" s="5" t="s">
        <v>282</v>
      </c>
      <c r="D68" s="6">
        <v>20000000</v>
      </c>
      <c r="E68" s="11" t="s">
        <v>283</v>
      </c>
      <c r="F68" s="11" t="s">
        <v>87</v>
      </c>
      <c r="G68" s="7">
        <v>100</v>
      </c>
      <c r="H68" s="11" t="s">
        <v>98</v>
      </c>
      <c r="I68" s="7">
        <v>50</v>
      </c>
      <c r="J68" s="5"/>
      <c r="K68" s="7">
        <v>50</v>
      </c>
      <c r="L68" s="5" t="s">
        <v>32</v>
      </c>
      <c r="M68" s="5" t="str">
        <f>A68&amp;"|"&amp;L68</f>
        <v>N1|En seguimiento</v>
      </c>
      <c r="N68" s="5" t="s">
        <v>33</v>
      </c>
      <c r="O68" s="5" t="str">
        <f t="shared" si="1"/>
        <v>Andrea Morales</v>
      </c>
      <c r="P68" s="5" t="s">
        <v>95</v>
      </c>
      <c r="Q68" s="8">
        <v>46238</v>
      </c>
      <c r="R68" s="8">
        <v>46238</v>
      </c>
      <c r="S68" s="12" t="s">
        <v>284</v>
      </c>
      <c r="T68" s="6">
        <v>20000000</v>
      </c>
      <c r="U68" s="5" t="s">
        <v>90</v>
      </c>
      <c r="V68" s="5" t="inlineStr">
        <is>
          <t>Seguros</t>
        </is>
      </c>
    </row>
    <row r="69" spans="1:22" ht="98.25">
      <c r="A69" s="5" t="s">
        <v>221</v>
      </c>
      <c r="B69" s="5" t="s">
        <v>227</v>
      </c>
      <c r="C69" s="5" t="s">
        <v>285</v>
      </c>
      <c r="D69" s="6">
        <v>52275000</v>
      </c>
      <c r="E69" s="11" t="s">
        <v>286</v>
      </c>
      <c r="F69" s="11" t="s">
        <v>87</v>
      </c>
      <c r="G69" s="7">
        <v>100</v>
      </c>
      <c r="H69" s="11" t="s">
        <v>98</v>
      </c>
      <c r="I69" s="7">
        <v>50</v>
      </c>
      <c r="J69" s="5"/>
      <c r="K69" s="7">
        <v>50</v>
      </c>
      <c r="L69" s="5" t="s">
        <v>32</v>
      </c>
      <c r="M69" s="5" t="str">
        <f>A69&amp;"|"&amp;L69</f>
        <v>N5|En seguimiento</v>
      </c>
      <c r="N69" s="5" t="s">
        <v>33</v>
      </c>
      <c r="O69" s="5" t="str">
        <f t="shared" si="1"/>
        <v>Ana Maria Castañeda</v>
      </c>
      <c r="P69" s="5" t="s">
        <v>95</v>
      </c>
      <c r="Q69" s="8">
        <v>46252</v>
      </c>
      <c r="R69" s="8">
        <v>46252</v>
      </c>
      <c r="S69" s="12" t="s">
        <v>287</v>
      </c>
      <c r="T69" s="6">
        <v>52275000</v>
      </c>
      <c r="U69" s="5" t="s">
        <v>90</v>
      </c>
      <c r="V69" s="5" t="inlineStr">
        <is>
          <t>Consumo Masivo</t>
        </is>
      </c>
    </row>
    <row r="70" spans="1:22" ht="98.25">
      <c r="A70" s="5" t="s">
        <v>221</v>
      </c>
      <c r="B70" s="5" t="s">
        <v>222</v>
      </c>
      <c r="C70" s="5" t="s">
        <v>288</v>
      </c>
      <c r="D70" s="6">
        <v>15000000</v>
      </c>
      <c r="E70" s="11" t="s">
        <v>286</v>
      </c>
      <c r="F70" s="11" t="s">
        <v>87</v>
      </c>
      <c r="G70" s="7">
        <v>100</v>
      </c>
      <c r="H70" s="11" t="s">
        <v>98</v>
      </c>
      <c r="I70" s="7">
        <v>50</v>
      </c>
      <c r="J70" s="5"/>
      <c r="K70" s="7">
        <v>50</v>
      </c>
      <c r="L70" s="5" t="s">
        <v>32</v>
      </c>
      <c r="M70" s="5" t="str">
        <f>A70&amp;"|"&amp;L70</f>
        <v>N5|En seguimiento</v>
      </c>
      <c r="N70" s="5" t="s">
        <v>33</v>
      </c>
      <c r="O70" s="5" t="str">
        <f t="shared" si="1"/>
        <v>Luz Karime Hernandez</v>
      </c>
      <c r="P70" s="5" t="s">
        <v>95</v>
      </c>
      <c r="Q70" s="8">
        <v>46252</v>
      </c>
      <c r="R70" s="8">
        <v>46252</v>
      </c>
      <c r="S70" s="12" t="s">
        <v>289</v>
      </c>
      <c r="T70" s="6">
        <v>15000000</v>
      </c>
      <c r="U70" s="5" t="s">
        <v>90</v>
      </c>
      <c r="V70" s="5" t="inlineStr">
        <is>
          <t>Consumo Masivo</t>
        </is>
      </c>
    </row>
    <row r="71" spans="1:22" ht="98.25">
      <c r="A71" s="5" t="s">
        <v>221</v>
      </c>
      <c r="B71" s="5" t="s">
        <v>222</v>
      </c>
      <c r="C71" s="5" t="s">
        <v>290</v>
      </c>
      <c r="D71" s="6">
        <v>35442850</v>
      </c>
      <c r="E71" s="11" t="s">
        <v>283</v>
      </c>
      <c r="F71" s="11" t="s">
        <v>87</v>
      </c>
      <c r="G71" s="7">
        <v>100</v>
      </c>
      <c r="H71" s="11" t="s">
        <v>98</v>
      </c>
      <c r="I71" s="7">
        <v>50</v>
      </c>
      <c r="J71" s="5"/>
      <c r="K71" s="7">
        <v>50</v>
      </c>
      <c r="L71" s="5" t="s">
        <v>32</v>
      </c>
      <c r="M71" s="5" t="str">
        <f>A71&amp;"|"&amp;L71</f>
        <v>N5|En seguimiento</v>
      </c>
      <c r="N71" s="5" t="s">
        <v>33</v>
      </c>
      <c r="O71" s="5" t="str">
        <f t="shared" si="1"/>
        <v>Luz Karime Hernandez</v>
      </c>
      <c r="P71" s="5" t="s">
        <v>95</v>
      </c>
      <c r="Q71" s="8">
        <v>46253</v>
      </c>
      <c r="R71" s="8">
        <v>46254</v>
      </c>
      <c r="S71" s="12" t="s">
        <v>291</v>
      </c>
      <c r="T71" s="6">
        <v>35442850</v>
      </c>
      <c r="U71" s="5" t="s">
        <v>90</v>
      </c>
      <c r="V71" s="5" t="inlineStr">
        <is>
          <t>Tecnología</t>
        </is>
      </c>
    </row>
    <row r="72" spans="1:22" ht="98.25">
      <c r="A72" s="5" t="s">
        <v>126</v>
      </c>
      <c r="B72" s="5" t="s">
        <v>138</v>
      </c>
      <c r="C72" s="5" t="s">
        <v>292</v>
      </c>
      <c r="D72" s="14">
        <v>243000000</v>
      </c>
      <c r="E72" s="11" t="s">
        <v>283</v>
      </c>
      <c r="F72" s="11" t="s">
        <v>87</v>
      </c>
      <c r="G72" s="7">
        <v>100</v>
      </c>
      <c r="H72" s="11" t="s">
        <v>98</v>
      </c>
      <c r="I72" s="7">
        <v>50</v>
      </c>
      <c r="J72" s="5"/>
      <c r="K72" s="7">
        <v>50</v>
      </c>
      <c r="L72" s="5" t="s">
        <v>32</v>
      </c>
      <c r="M72" s="5" t="str">
        <f>A72&amp;"|"&amp;L72</f>
        <v>N2|En seguimiento</v>
      </c>
      <c r="N72" s="5" t="s">
        <v>33</v>
      </c>
      <c r="O72" s="5" t="str">
        <f t="shared" si="1"/>
        <v>Luisa Escobar</v>
      </c>
      <c r="P72" s="5" t="s">
        <v>95</v>
      </c>
      <c r="Q72" s="8">
        <v>46253</v>
      </c>
      <c r="R72" s="8">
        <v>46253</v>
      </c>
      <c r="S72" s="12" t="s">
        <v>293</v>
      </c>
      <c r="T72" s="14">
        <v>243000000</v>
      </c>
      <c r="U72" s="5" t="s">
        <v>90</v>
      </c>
      <c r="V72" s="5" t="inlineStr">
        <is>
          <t>Tecnología</t>
        </is>
      </c>
    </row>
    <row r="73" spans="1:22" ht="98.25">
      <c r="A73" s="5" t="s">
        <v>195</v>
      </c>
      <c r="B73" s="5" t="s">
        <v>196</v>
      </c>
      <c r="C73" s="5" t="s">
        <v>294</v>
      </c>
      <c r="D73" s="14">
        <v>31500000</v>
      </c>
      <c r="E73" s="11" t="s">
        <v>295</v>
      </c>
      <c r="F73" s="11" t="s">
        <v>87</v>
      </c>
      <c r="G73" s="7">
        <v>100</v>
      </c>
      <c r="H73" s="11" t="s">
        <v>98</v>
      </c>
      <c r="I73" s="7">
        <v>50</v>
      </c>
      <c r="J73" s="5"/>
      <c r="K73" s="7">
        <v>50</v>
      </c>
      <c r="L73" s="5" t="s">
        <v>32</v>
      </c>
      <c r="M73" s="5" t="str">
        <f>A73&amp;"|"&amp;L73</f>
        <v>N4|En seguimiento</v>
      </c>
      <c r="N73" s="5" t="s">
        <v>33</v>
      </c>
      <c r="O73" s="5" t="str">
        <f t="shared" si="1"/>
        <v>Luis López</v>
      </c>
      <c r="P73" s="5" t="s">
        <v>95</v>
      </c>
      <c r="Q73" s="8">
        <v>46247</v>
      </c>
      <c r="R73" s="8">
        <v>46254</v>
      </c>
      <c r="S73" s="12" t="s">
        <v>296</v>
      </c>
      <c r="T73" s="14">
        <v>31500000</v>
      </c>
      <c r="U73" s="5" t="s">
        <v>81</v>
      </c>
      <c r="V73" s="5" t="inlineStr">
        <is>
          <t>Salud</t>
        </is>
      </c>
    </row>
    <row r="74" spans="1:22" ht="98.25">
      <c r="A74" s="5" t="s">
        <v>71</v>
      </c>
      <c r="B74" s="5" t="s">
        <v>72</v>
      </c>
      <c r="C74" s="5" t="s">
        <v>297</v>
      </c>
      <c r="D74" s="6">
        <v>80000000</v>
      </c>
      <c r="E74" s="5" t="s">
        <v>298</v>
      </c>
      <c r="F74" s="11" t="s">
        <v>87</v>
      </c>
      <c r="G74" s="7">
        <v>100</v>
      </c>
      <c r="H74" s="11" t="s">
        <v>98</v>
      </c>
      <c r="I74" s="7">
        <v>50</v>
      </c>
      <c r="J74" s="5"/>
      <c r="K74" s="7">
        <v>50</v>
      </c>
      <c r="L74" s="5" t="s">
        <v>32</v>
      </c>
      <c r="M74" s="5" t="str">
        <f>A74&amp;"|"&amp;L74</f>
        <v>N1|En seguimiento</v>
      </c>
      <c r="N74" s="5" t="s">
        <v>33</v>
      </c>
      <c r="O74" s="5" t="str">
        <f t="shared" si="1"/>
        <v>Andrea Morales</v>
      </c>
      <c r="P74" s="5" t="s">
        <v>95</v>
      </c>
      <c r="Q74" s="8">
        <v>46251</v>
      </c>
      <c r="R74" s="8">
        <v>46253</v>
      </c>
      <c r="S74" s="9" t="s">
        <v>299</v>
      </c>
      <c r="T74" s="14">
        <v>87000000</v>
      </c>
      <c r="U74" s="5" t="s">
        <v>81</v>
      </c>
      <c r="V74" s="5" t="inlineStr">
        <is>
          <t>Automotriz</t>
        </is>
      </c>
    </row>
    <row r="75" spans="1:22" ht="110.25">
      <c r="A75" s="5" t="s">
        <v>71</v>
      </c>
      <c r="B75" s="5" t="s">
        <v>300</v>
      </c>
      <c r="C75" s="5" t="s">
        <v>78</v>
      </c>
      <c r="D75" s="6">
        <v>80000000</v>
      </c>
      <c r="E75" s="5" t="s">
        <v>298</v>
      </c>
      <c r="F75" s="11" t="s">
        <v>87</v>
      </c>
      <c r="G75" s="7">
        <v>100</v>
      </c>
      <c r="H75" s="11" t="s">
        <v>98</v>
      </c>
      <c r="I75" s="7">
        <v>50</v>
      </c>
      <c r="J75" s="5"/>
      <c r="K75" s="7">
        <v>50</v>
      </c>
      <c r="L75" s="5" t="s">
        <v>32</v>
      </c>
      <c r="M75" s="5" t="str">
        <f>A75&amp;"|"&amp;L75</f>
        <v>N1|En seguimiento</v>
      </c>
      <c r="N75" s="5" t="s">
        <v>33</v>
      </c>
      <c r="O75" s="5" t="str">
        <f t="shared" si="1"/>
        <v>Rosa Díaz</v>
      </c>
      <c r="P75" s="5" t="s">
        <v>95</v>
      </c>
      <c r="Q75" s="8">
        <v>46239</v>
      </c>
      <c r="R75" s="8">
        <v>46240</v>
      </c>
      <c r="S75" s="9" t="s">
        <v>301</v>
      </c>
      <c r="T75" s="14">
        <v>87000000</v>
      </c>
      <c r="U75" s="5" t="s">
        <v>81</v>
      </c>
      <c r="V75" s="5" t="inlineStr">
        <is>
          <t>Automotriz</t>
        </is>
      </c>
    </row>
    <row r="76" spans="1:22" ht="98.25">
      <c r="A76" s="5" t="s">
        <v>195</v>
      </c>
      <c r="B76" s="5" t="s">
        <v>208</v>
      </c>
      <c r="C76" s="5" t="s">
        <v>302</v>
      </c>
      <c r="D76" s="6">
        <v>35000000</v>
      </c>
      <c r="E76" s="5" t="s">
        <v>303</v>
      </c>
      <c r="F76" s="11" t="s">
        <v>87</v>
      </c>
      <c r="G76" s="7">
        <v>100</v>
      </c>
      <c r="H76" s="11" t="s">
        <v>98</v>
      </c>
      <c r="I76" s="7">
        <v>50</v>
      </c>
      <c r="J76" s="5"/>
      <c r="K76" s="7">
        <v>50</v>
      </c>
      <c r="L76" s="5" t="s">
        <v>32</v>
      </c>
      <c r="M76" s="5" t="str">
        <f>A76&amp;"|"&amp;L76</f>
        <v>N4|En seguimiento</v>
      </c>
      <c r="N76" s="5" t="s">
        <v>33</v>
      </c>
      <c r="O76" s="5" t="str">
        <f t="shared" si="1"/>
        <v>Karen Pérez</v>
      </c>
      <c r="P76" s="5" t="s">
        <v>95</v>
      </c>
      <c r="Q76" s="8">
        <v>46260</v>
      </c>
      <c r="R76" s="8">
        <v>46260</v>
      </c>
      <c r="S76" s="9" t="s">
        <v>304</v>
      </c>
      <c r="T76" s="14">
        <v>36000000</v>
      </c>
      <c r="U76" s="5" t="s">
        <v>81</v>
      </c>
      <c r="V76" s="5" t="inlineStr">
        <is>
          <t>Consumo Masivo</t>
        </is>
      </c>
    </row>
    <row r="77" spans="1:22" ht="110.25">
      <c r="A77" s="5" t="s">
        <v>166</v>
      </c>
      <c r="B77" s="5" t="s">
        <v>278</v>
      </c>
      <c r="C77" s="5" t="s">
        <v>305</v>
      </c>
      <c r="D77" s="6">
        <v>50000000</v>
      </c>
      <c r="E77" s="5" t="s">
        <v>306</v>
      </c>
      <c r="F77" s="11" t="s">
        <v>87</v>
      </c>
      <c r="G77" s="7">
        <v>100</v>
      </c>
      <c r="H77" s="11" t="s">
        <v>98</v>
      </c>
      <c r="I77" s="7">
        <v>50</v>
      </c>
      <c r="J77" s="5"/>
      <c r="K77" s="7">
        <v>50</v>
      </c>
      <c r="L77" s="5" t="s">
        <v>32</v>
      </c>
      <c r="M77" s="5" t="str">
        <f>A77&amp;"|"&amp;L77</f>
        <v>N3|En seguimiento</v>
      </c>
      <c r="N77" s="5" t="s">
        <v>33</v>
      </c>
      <c r="O77" s="5" t="str">
        <f t="shared" si="1"/>
        <v>Elsa Cortez</v>
      </c>
      <c r="P77" s="5" t="s">
        <v>95</v>
      </c>
      <c r="Q77" s="8">
        <v>46259</v>
      </c>
      <c r="R77" s="8">
        <v>46259</v>
      </c>
      <c r="S77" s="9" t="s">
        <v>307</v>
      </c>
      <c r="T77" s="14">
        <v>50000000</v>
      </c>
      <c r="U77" s="5" t="s">
        <v>81</v>
      </c>
      <c r="V77" s="5" t="inlineStr">
        <is>
          <t>Automotriz</t>
        </is>
      </c>
    </row>
    <row r="78" spans="1:22" ht="98.25">
      <c r="A78" s="5" t="s">
        <v>166</v>
      </c>
      <c r="B78" s="5" t="s">
        <v>176</v>
      </c>
      <c r="C78" s="5" t="s">
        <v>308</v>
      </c>
      <c r="D78" s="6">
        <v>20000000</v>
      </c>
      <c r="E78" s="5" t="s">
        <v>309</v>
      </c>
      <c r="F78" s="11" t="s">
        <v>87</v>
      </c>
      <c r="G78" s="7">
        <v>100</v>
      </c>
      <c r="H78" s="11" t="s">
        <v>98</v>
      </c>
      <c r="I78" s="7">
        <v>50</v>
      </c>
      <c r="J78" s="5"/>
      <c r="K78" s="7">
        <v>50</v>
      </c>
      <c r="L78" s="5" t="s">
        <v>32</v>
      </c>
      <c r="M78" s="5" t="str">
        <f>A78&amp;"|"&amp;L78</f>
        <v>N3|En seguimiento</v>
      </c>
      <c r="N78" s="5" t="s">
        <v>33</v>
      </c>
      <c r="O78" s="5" t="str">
        <f t="shared" si="1"/>
        <v>Diana Andrea Rodiguez</v>
      </c>
      <c r="P78" s="5" t="s">
        <v>95</v>
      </c>
      <c r="Q78" s="8">
        <v>46259</v>
      </c>
      <c r="R78" s="8">
        <v>46259</v>
      </c>
      <c r="S78" s="9" t="s">
        <v>310</v>
      </c>
      <c r="T78" s="14">
        <v>20000000</v>
      </c>
      <c r="U78" s="5" t="s">
        <v>81</v>
      </c>
      <c r="V78" s="5" t="inlineStr">
        <is>
          <t>Banca</t>
        </is>
      </c>
    </row>
    <row r="79" spans="1:22" ht="98.25">
      <c r="A79" s="5" t="s">
        <v>166</v>
      </c>
      <c r="B79" s="5" t="s">
        <v>186</v>
      </c>
      <c r="C79" s="5" t="s">
        <v>311</v>
      </c>
      <c r="D79" s="6">
        <v>50000000</v>
      </c>
      <c r="E79" s="5" t="s">
        <v>312</v>
      </c>
      <c r="F79" s="11" t="s">
        <v>87</v>
      </c>
      <c r="G79" s="7">
        <v>100</v>
      </c>
      <c r="H79" s="11" t="s">
        <v>98</v>
      </c>
      <c r="I79" s="7">
        <v>50</v>
      </c>
      <c r="J79" s="5"/>
      <c r="K79" s="7">
        <v>50</v>
      </c>
      <c r="L79" s="5" t="s">
        <v>32</v>
      </c>
      <c r="M79" s="5" t="str">
        <f>A79&amp;"|"&amp;L79</f>
        <v>N3|En seguimiento</v>
      </c>
      <c r="N79" s="5" t="s">
        <v>33</v>
      </c>
      <c r="O79" s="5" t="str">
        <f t="shared" si="1"/>
        <v>Laura Sofía Calvera</v>
      </c>
      <c r="P79" s="5" t="s">
        <v>95</v>
      </c>
      <c r="Q79" s="8">
        <v>46258</v>
      </c>
      <c r="R79" s="8">
        <v>46258</v>
      </c>
      <c r="S79" s="9" t="s">
        <v>313</v>
      </c>
      <c r="T79" s="14">
        <v>50000000</v>
      </c>
      <c r="U79" s="5" t="s">
        <v>81</v>
      </c>
      <c r="V79" s="5" t="inlineStr">
        <is>
          <t>Viajes</t>
        </is>
      </c>
    </row>
    <row r="80" spans="1:22" ht="98.25">
      <c r="A80" s="5" t="s">
        <v>166</v>
      </c>
      <c r="B80" s="5" t="s">
        <v>314</v>
      </c>
      <c r="C80" s="5" t="s">
        <v>315</v>
      </c>
      <c r="D80" s="6">
        <v>100000000</v>
      </c>
      <c r="E80" s="5" t="s">
        <v>316</v>
      </c>
      <c r="F80" s="11" t="s">
        <v>87</v>
      </c>
      <c r="G80" s="7">
        <v>100</v>
      </c>
      <c r="H80" s="11" t="s">
        <v>98</v>
      </c>
      <c r="I80" s="7">
        <v>50</v>
      </c>
      <c r="J80" s="5"/>
      <c r="K80" s="7">
        <v>50</v>
      </c>
      <c r="L80" s="5" t="s">
        <v>32</v>
      </c>
      <c r="M80" s="5" t="str">
        <f>A80&amp;"|"&amp;L80</f>
        <v>N3|En seguimiento</v>
      </c>
      <c r="N80" s="5" t="s">
        <v>33</v>
      </c>
      <c r="O80" s="5" t="str">
        <f t="shared" si="1"/>
        <v>Nicole Hincapié</v>
      </c>
      <c r="P80" s="5" t="s">
        <v>95</v>
      </c>
      <c r="Q80" s="8">
        <v>46261</v>
      </c>
      <c r="R80" s="8">
        <v>46261</v>
      </c>
      <c r="S80" s="9" t="s">
        <v>317</v>
      </c>
      <c r="T80" s="14">
        <v>120000000</v>
      </c>
      <c r="U80" s="5" t="s">
        <v>81</v>
      </c>
      <c r="V80" s="5" t="inlineStr">
        <is>
          <t>Banca</t>
        </is>
      </c>
    </row>
    <row r="81" spans="1:22" ht="98.25">
      <c r="A81" s="5" t="s">
        <v>166</v>
      </c>
      <c r="B81" s="5" t="s">
        <v>167</v>
      </c>
      <c r="C81" s="5" t="s">
        <v>318</v>
      </c>
      <c r="D81" s="6">
        <v>7000000</v>
      </c>
      <c r="E81" s="5" t="s">
        <v>319</v>
      </c>
      <c r="F81" s="11" t="s">
        <v>87</v>
      </c>
      <c r="G81" s="7">
        <v>100</v>
      </c>
      <c r="H81" s="11" t="s">
        <v>98</v>
      </c>
      <c r="I81" s="7">
        <v>50</v>
      </c>
      <c r="J81" s="5"/>
      <c r="K81" s="7">
        <v>50</v>
      </c>
      <c r="L81" s="5" t="s">
        <v>32</v>
      </c>
      <c r="M81" s="5" t="str">
        <f>A81&amp;"|"&amp;L81</f>
        <v>N3|En seguimiento</v>
      </c>
      <c r="N81" s="5" t="s">
        <v>33</v>
      </c>
      <c r="O81" s="5" t="str">
        <f t="shared" si="1"/>
        <v>Helen Fajardo</v>
      </c>
      <c r="P81" s="5" t="s">
        <v>95</v>
      </c>
      <c r="Q81" s="8">
        <v>46252</v>
      </c>
      <c r="R81" s="8">
        <v>46267</v>
      </c>
      <c r="S81" s="12" t="s">
        <v>320</v>
      </c>
      <c r="T81" s="14">
        <v>7000000</v>
      </c>
      <c r="U81" s="5" t="s">
        <v>36</v>
      </c>
      <c r="V81" s="5" t="inlineStr">
        <is>
          <t>Entretenimiento</t>
        </is>
      </c>
    </row>
    <row r="82" spans="1:22" ht="98.25">
      <c r="A82" s="5" t="s">
        <v>40</v>
      </c>
      <c r="B82" s="5" t="s">
        <v>40</v>
      </c>
      <c r="C82" s="5" t="s">
        <v>321</v>
      </c>
      <c r="D82" s="6">
        <v>36000000</v>
      </c>
      <c r="E82" s="5" t="s">
        <v>322</v>
      </c>
      <c r="F82" s="11" t="s">
        <v>87</v>
      </c>
      <c r="G82" s="7">
        <v>100</v>
      </c>
      <c r="H82" s="11" t="s">
        <v>98</v>
      </c>
      <c r="I82" s="7">
        <v>50</v>
      </c>
      <c r="J82" s="5"/>
      <c r="K82" s="7">
        <v>50</v>
      </c>
      <c r="L82" s="5" t="s">
        <v>32</v>
      </c>
      <c r="M82" s="5" t="str">
        <f>A82&amp;"|"&amp;L82</f>
        <v>PRODUCTOS GENERALES|En seguimiento</v>
      </c>
      <c r="N82" s="5" t="s">
        <v>33</v>
      </c>
      <c r="O82" s="5" t="str">
        <f t="shared" si="1"/>
        <v>PRODUCTOS GENERALES</v>
      </c>
      <c r="P82" s="5" t="s">
        <v>88</v>
      </c>
      <c r="Q82" s="8">
        <v>46266</v>
      </c>
      <c r="R82" s="8">
        <v>46295</v>
      </c>
      <c r="S82" s="12" t="s">
        <v>323</v>
      </c>
      <c r="T82" s="14">
        <v>36000000</v>
      </c>
      <c r="U82" s="5" t="s">
        <v>36</v>
      </c>
      <c r="V82" s="5" t="inlineStr">
        <is>
          <t>Otros</t>
        </is>
      </c>
    </row>
    <row r="83" spans="1:22" ht="98.25">
      <c r="A83" s="5" t="s">
        <v>40</v>
      </c>
      <c r="B83" s="5" t="s">
        <v>40</v>
      </c>
      <c r="C83" s="5" t="s">
        <v>324</v>
      </c>
      <c r="D83" s="6">
        <v>15000000</v>
      </c>
      <c r="E83" s="5" t="s">
        <v>324</v>
      </c>
      <c r="F83" s="11" t="s">
        <v>87</v>
      </c>
      <c r="G83" s="7">
        <v>100</v>
      </c>
      <c r="H83" s="11" t="s">
        <v>98</v>
      </c>
      <c r="I83" s="7">
        <v>50</v>
      </c>
      <c r="J83" s="5"/>
      <c r="K83" s="7">
        <v>50</v>
      </c>
      <c r="L83" s="5" t="s">
        <v>32</v>
      </c>
      <c r="M83" s="5" t="str">
        <f>A83&amp;"|"&amp;L83</f>
        <v>PRODUCTOS GENERALES|En seguimiento</v>
      </c>
      <c r="N83" s="5" t="s">
        <v>33</v>
      </c>
      <c r="O83" s="5" t="str">
        <f t="shared" si="1"/>
        <v>PRODUCTOS GENERALES</v>
      </c>
      <c r="P83" s="5" t="s">
        <v>88</v>
      </c>
      <c r="Q83" s="8">
        <v>46266</v>
      </c>
      <c r="R83" s="8">
        <v>46295</v>
      </c>
      <c r="S83" s="12" t="s">
        <v>325</v>
      </c>
      <c r="T83" s="14">
        <v>15000000</v>
      </c>
      <c r="U83" s="5" t="s">
        <v>90</v>
      </c>
      <c r="V83" s="5" t="inlineStr">
        <is>
          <t>Otros</t>
        </is>
      </c>
    </row>
    <row r="84" spans="1:22" ht="98.25">
      <c r="A84" s="5" t="s">
        <v>195</v>
      </c>
      <c r="B84" s="5" t="s">
        <v>196</v>
      </c>
      <c r="C84" s="5" t="s">
        <v>326</v>
      </c>
      <c r="D84" s="14">
        <v>98960000</v>
      </c>
      <c r="E84" s="5" t="s">
        <v>327</v>
      </c>
      <c r="F84" s="11" t="s">
        <v>87</v>
      </c>
      <c r="G84" s="7">
        <v>100</v>
      </c>
      <c r="H84" s="11" t="s">
        <v>98</v>
      </c>
      <c r="I84" s="7">
        <v>50</v>
      </c>
      <c r="J84" s="5"/>
      <c r="K84" s="7">
        <v>50</v>
      </c>
      <c r="L84" s="5" t="s">
        <v>32</v>
      </c>
      <c r="M84" s="5" t="str">
        <f>A84&amp;"|"&amp;L84</f>
        <v>N4|En seguimiento</v>
      </c>
      <c r="N84" s="5" t="s">
        <v>33</v>
      </c>
      <c r="O84" s="5" t="str">
        <f t="shared" si="1"/>
        <v>Luis López</v>
      </c>
      <c r="P84" s="5" t="s">
        <v>95</v>
      </c>
      <c r="Q84" s="8">
        <v>46260</v>
      </c>
      <c r="R84" s="8">
        <v>46260</v>
      </c>
      <c r="S84" s="12" t="s">
        <v>323</v>
      </c>
      <c r="T84" s="14">
        <v>98960000</v>
      </c>
      <c r="U84" s="5" t="s">
        <v>90</v>
      </c>
      <c r="V84" s="5" t="inlineStr">
        <is>
          <t>Tecnología</t>
        </is>
      </c>
    </row>
    <row r="85" spans="1:22" ht="98.25">
      <c r="A85" s="5" t="s">
        <v>221</v>
      </c>
      <c r="B85" s="5" t="s">
        <v>222</v>
      </c>
      <c r="C85" s="5" t="s">
        <v>328</v>
      </c>
      <c r="D85" s="6">
        <v>45100000</v>
      </c>
      <c r="E85" s="5" t="s">
        <v>329</v>
      </c>
      <c r="F85" s="11" t="s">
        <v>87</v>
      </c>
      <c r="G85" s="7">
        <v>100</v>
      </c>
      <c r="H85" s="11" t="s">
        <v>98</v>
      </c>
      <c r="I85" s="7">
        <v>50</v>
      </c>
      <c r="J85" s="5"/>
      <c r="K85" s="7">
        <v>50</v>
      </c>
      <c r="L85" s="5" t="s">
        <v>32</v>
      </c>
      <c r="M85" s="5" t="str">
        <f>A85&amp;"|"&amp;L85</f>
        <v>N5|En seguimiento</v>
      </c>
      <c r="N85" s="5" t="s">
        <v>33</v>
      </c>
      <c r="O85" s="5" t="str">
        <f t="shared" si="1"/>
        <v>Luz Karime Hernandez</v>
      </c>
      <c r="P85" s="5" t="s">
        <v>95</v>
      </c>
      <c r="Q85" s="8">
        <v>46261</v>
      </c>
      <c r="R85" s="8">
        <v>46261</v>
      </c>
      <c r="S85" s="12" t="s">
        <v>330</v>
      </c>
      <c r="T85" s="6">
        <v>45100000</v>
      </c>
      <c r="U85" s="5" t="s">
        <v>90</v>
      </c>
      <c r="V85" s="5" t="inlineStr">
        <is>
          <t>Otros</t>
        </is>
      </c>
    </row>
    <row r="86" spans="1:22" ht="98.25">
      <c r="A86" s="5" t="s">
        <v>221</v>
      </c>
      <c r="B86" s="5" t="s">
        <v>238</v>
      </c>
      <c r="C86" s="5" t="s">
        <v>331</v>
      </c>
      <c r="D86" s="6">
        <v>32440000</v>
      </c>
      <c r="E86" s="5" t="s">
        <v>332</v>
      </c>
      <c r="F86" s="11" t="s">
        <v>87</v>
      </c>
      <c r="G86" s="7">
        <v>100</v>
      </c>
      <c r="H86" s="11" t="s">
        <v>98</v>
      </c>
      <c r="I86" s="7">
        <v>50</v>
      </c>
      <c r="J86" s="5"/>
      <c r="K86" s="7">
        <v>50</v>
      </c>
      <c r="L86" s="5" t="s">
        <v>32</v>
      </c>
      <c r="M86" s="5" t="str">
        <f>A86&amp;"|"&amp;L86</f>
        <v>N5|En seguimiento</v>
      </c>
      <c r="N86" s="5" t="s">
        <v>33</v>
      </c>
      <c r="O86" s="5" t="str">
        <f t="shared" si="1"/>
        <v>Carol Beltran</v>
      </c>
      <c r="P86" s="5" t="s">
        <v>95</v>
      </c>
      <c r="Q86" s="8">
        <v>46259</v>
      </c>
      <c r="R86" s="8">
        <v>46262</v>
      </c>
      <c r="S86" s="12" t="s">
        <v>333</v>
      </c>
      <c r="T86" s="6">
        <v>32440000</v>
      </c>
      <c r="U86" s="5" t="s">
        <v>76</v>
      </c>
      <c r="V86" s="5" t="inlineStr">
        <is>
          <t>Viajes</t>
        </is>
      </c>
    </row>
    <row r="87" spans="1:22" ht="98.25">
      <c r="A87" s="5" t="s">
        <v>221</v>
      </c>
      <c r="B87" s="5" t="s">
        <v>238</v>
      </c>
      <c r="C87" s="5" t="s">
        <v>334</v>
      </c>
      <c r="D87" s="6">
        <v>30000000</v>
      </c>
      <c r="E87" s="5" t="s">
        <v>335</v>
      </c>
      <c r="F87" s="11" t="s">
        <v>87</v>
      </c>
      <c r="G87" s="7">
        <v>100</v>
      </c>
      <c r="H87" s="11" t="s">
        <v>98</v>
      </c>
      <c r="I87" s="7">
        <v>50</v>
      </c>
      <c r="J87" s="5"/>
      <c r="K87" s="7">
        <v>50</v>
      </c>
      <c r="L87" s="5" t="s">
        <v>32</v>
      </c>
      <c r="M87" s="5" t="str">
        <f>A87&amp;"|"&amp;L87</f>
        <v>N5|En seguimiento</v>
      </c>
      <c r="N87" s="5" t="s">
        <v>33</v>
      </c>
      <c r="O87" s="5" t="str">
        <f t="shared" si="1"/>
        <v>Carol Beltran</v>
      </c>
      <c r="P87" s="5" t="s">
        <v>95</v>
      </c>
      <c r="Q87" s="8">
        <v>46255</v>
      </c>
      <c r="R87" s="8">
        <v>46255</v>
      </c>
      <c r="S87" s="12" t="s">
        <v>336</v>
      </c>
      <c r="T87" s="6">
        <v>30000000</v>
      </c>
      <c r="U87" s="5" t="s">
        <v>81</v>
      </c>
      <c r="V87" s="5" t="inlineStr">
        <is>
          <t>Automotriz</t>
        </is>
      </c>
    </row>
    <row r="88" spans="1:22" ht="99" customHeight="1">
      <c r="A88" s="5" t="s">
        <v>40</v>
      </c>
      <c r="B88" s="25" t="s">
        <v>337</v>
      </c>
      <c r="C88" s="5" t="s">
        <v>338</v>
      </c>
      <c r="D88" s="6">
        <v>60000000</v>
      </c>
      <c r="E88" s="5" t="s">
        <v>339</v>
      </c>
      <c r="F88" s="11" t="s">
        <v>87</v>
      </c>
      <c r="G88" s="7">
        <v>100</v>
      </c>
      <c r="H88" s="11" t="s">
        <v>98</v>
      </c>
      <c r="I88" s="7">
        <v>50</v>
      </c>
      <c r="J88" s="5"/>
      <c r="K88" s="7">
        <v>50</v>
      </c>
      <c r="L88" s="5" t="s">
        <v>32</v>
      </c>
      <c r="M88" s="5" t="str">
        <f>A88&amp;"|"&amp;L88</f>
        <v>PRODUCTOS GENERALES|En seguimiento</v>
      </c>
      <c r="N88" s="5" t="s">
        <v>33</v>
      </c>
      <c r="O88" s="5" t="str">
        <f t="shared" si="1"/>
        <v>Susan Castaño</v>
      </c>
      <c r="P88" s="5" t="s">
        <v>95</v>
      </c>
      <c r="Q88" s="8">
        <v>46244</v>
      </c>
      <c r="R88" s="8">
        <v>46248</v>
      </c>
      <c r="S88" s="12" t="s">
        <v>340</v>
      </c>
      <c r="T88" s="6">
        <v>60000000</v>
      </c>
      <c r="U88" s="5" t="s">
        <v>76</v>
      </c>
      <c r="V88" s="5" t="inlineStr">
        <is>
          <t>Banca</t>
        </is>
      </c>
    </row>
    <row r="89" spans="1:22" ht="98.25">
      <c r="A89" s="5" t="s">
        <v>221</v>
      </c>
      <c r="B89" s="5" t="s">
        <v>238</v>
      </c>
      <c r="C89" s="5" t="s">
        <v>341</v>
      </c>
      <c r="D89" s="6">
        <v>100000000</v>
      </c>
      <c r="E89" s="5" t="s">
        <v>339</v>
      </c>
      <c r="F89" s="11" t="s">
        <v>87</v>
      </c>
      <c r="G89" s="7">
        <v>100</v>
      </c>
      <c r="H89" s="11" t="s">
        <v>98</v>
      </c>
      <c r="I89" s="7">
        <v>50</v>
      </c>
      <c r="J89" s="5"/>
      <c r="K89" s="7">
        <v>50</v>
      </c>
      <c r="L89" s="5" t="s">
        <v>32</v>
      </c>
      <c r="M89" s="5" t="str">
        <f>A89&amp;"|"&amp;L89</f>
        <v>N5|En seguimiento</v>
      </c>
      <c r="N89" s="5" t="s">
        <v>33</v>
      </c>
      <c r="O89" s="5" t="str">
        <f t="shared" si="1"/>
        <v>Carol Beltran</v>
      </c>
      <c r="P89" s="5" t="s">
        <v>95</v>
      </c>
      <c r="Q89" s="8">
        <v>46244</v>
      </c>
      <c r="R89" s="8">
        <v>46246</v>
      </c>
      <c r="S89" s="12" t="s">
        <v>342</v>
      </c>
      <c r="T89" s="6">
        <v>80000000</v>
      </c>
      <c r="U89" s="5" t="s">
        <v>90</v>
      </c>
      <c r="V89" s="5" t="inlineStr">
        <is>
          <t>Consumo Masivo</t>
        </is>
      </c>
    </row>
    <row r="90" spans="1:22" ht="98.25">
      <c r="A90" s="5" t="s">
        <v>221</v>
      </c>
      <c r="B90" s="5" t="s">
        <v>227</v>
      </c>
      <c r="C90" s="5" t="s">
        <v>343</v>
      </c>
      <c r="D90" s="6">
        <v>20000000</v>
      </c>
      <c r="E90" s="11" t="s">
        <v>344</v>
      </c>
      <c r="F90" s="11" t="s">
        <v>87</v>
      </c>
      <c r="G90" s="7">
        <v>100</v>
      </c>
      <c r="H90" s="11" t="s">
        <v>98</v>
      </c>
      <c r="I90" s="7">
        <v>50</v>
      </c>
      <c r="J90" s="5"/>
      <c r="K90" s="7">
        <v>50</v>
      </c>
      <c r="L90" s="5" t="s">
        <v>32</v>
      </c>
      <c r="M90" s="5" t="str">
        <f>A90&amp;"|"&amp;L90</f>
        <v>N5|En seguimiento</v>
      </c>
      <c r="N90" s="5" t="s">
        <v>33</v>
      </c>
      <c r="O90" s="5" t="str">
        <f t="shared" si="1"/>
        <v>Ana Maria Castañeda</v>
      </c>
      <c r="P90" s="5" t="s">
        <v>95</v>
      </c>
      <c r="Q90" s="8">
        <v>46265</v>
      </c>
      <c r="R90" s="8">
        <v>46265</v>
      </c>
      <c r="S90" s="12" t="s">
        <v>345</v>
      </c>
      <c r="T90" s="6">
        <v>20000000</v>
      </c>
      <c r="U90" s="5" t="s">
        <v>76</v>
      </c>
      <c r="V90" s="5" t="inlineStr">
        <is>
          <t>Otros</t>
        </is>
      </c>
    </row>
    <row r="91" spans="1:22" ht="98.25">
      <c r="A91" s="5" t="s">
        <v>166</v>
      </c>
      <c r="B91" s="5" t="s">
        <v>278</v>
      </c>
      <c r="C91" s="5" t="s">
        <v>346</v>
      </c>
      <c r="D91" s="6">
        <v>15000000</v>
      </c>
      <c r="E91" s="11" t="s">
        <v>347</v>
      </c>
      <c r="F91" s="11" t="s">
        <v>87</v>
      </c>
      <c r="G91" s="7">
        <v>100</v>
      </c>
      <c r="H91" s="11" t="s">
        <v>98</v>
      </c>
      <c r="I91" s="7">
        <v>50</v>
      </c>
      <c r="J91" s="5"/>
      <c r="K91" s="7">
        <v>50</v>
      </c>
      <c r="L91" s="5" t="s">
        <v>32</v>
      </c>
      <c r="M91" s="5" t="str">
        <f>A91&amp;"|"&amp;L91</f>
        <v>N3|En seguimiento</v>
      </c>
      <c r="N91" s="5" t="s">
        <v>33</v>
      </c>
      <c r="O91" s="5" t="str">
        <f t="shared" si="1"/>
        <v>Elsa Cortez</v>
      </c>
      <c r="P91" s="5" t="s">
        <v>95</v>
      </c>
      <c r="Q91" s="8">
        <v>46238</v>
      </c>
      <c r="R91" s="8">
        <v>46240</v>
      </c>
      <c r="S91" s="12" t="s">
        <v>348</v>
      </c>
      <c r="T91" s="6">
        <v>15000000</v>
      </c>
      <c r="U91" s="5" t="s">
        <v>90</v>
      </c>
      <c r="V91" s="5" t="inlineStr">
        <is>
          <t>Educación</t>
        </is>
      </c>
    </row>
    <row r="92" spans="1:22" ht="98.25">
      <c r="A92" s="15" t="s">
        <v>126</v>
      </c>
      <c r="B92" s="15" t="s">
        <v>138</v>
      </c>
      <c r="C92" s="15" t="s">
        <v>349</v>
      </c>
      <c r="D92" s="16">
        <v>35000000</v>
      </c>
      <c r="E92" s="15" t="s">
        <v>350</v>
      </c>
      <c r="F92" s="20" t="s">
        <v>87</v>
      </c>
      <c r="G92" s="17">
        <v>100</v>
      </c>
      <c r="H92" s="20" t="s">
        <v>98</v>
      </c>
      <c r="I92" s="17">
        <v>50</v>
      </c>
      <c r="J92" s="15"/>
      <c r="K92" s="17">
        <v>50</v>
      </c>
      <c r="L92" s="15" t="s">
        <v>109</v>
      </c>
      <c r="M92" s="15" t="str">
        <f>A92&amp;"|"&amp;L92</f>
        <v>N2|Cerrada</v>
      </c>
      <c r="N92" s="15" t="s">
        <v>33</v>
      </c>
      <c r="O92" s="15" t="str">
        <f t="shared" si="1"/>
        <v>Luisa Escobar</v>
      </c>
      <c r="P92" s="15" t="s">
        <v>88</v>
      </c>
      <c r="Q92" s="18">
        <v>46266</v>
      </c>
      <c r="R92" s="18">
        <v>46283</v>
      </c>
      <c r="S92" s="21" t="s">
        <v>351</v>
      </c>
      <c r="T92" s="16">
        <v>35000000</v>
      </c>
      <c r="U92" s="15" t="s">
        <v>76</v>
      </c>
      <c r="V92" s="15" t="inlineStr">
        <is>
          <t>Consumo Masivo</t>
        </is>
      </c>
    </row>
    <row r="93" spans="1:22" ht="49.5">
      <c r="A93" s="5" t="s">
        <v>195</v>
      </c>
      <c r="B93" s="5" t="s">
        <v>352</v>
      </c>
      <c r="C93" s="5" t="s">
        <v>353</v>
      </c>
      <c r="D93" s="6">
        <v>48130000</v>
      </c>
      <c r="E93" s="5" t="s">
        <v>354</v>
      </c>
      <c r="F93" s="11" t="s">
        <v>355</v>
      </c>
      <c r="G93" s="7">
        <v>100</v>
      </c>
      <c r="H93" s="11" t="s">
        <v>355</v>
      </c>
      <c r="I93" s="7">
        <v>100</v>
      </c>
      <c r="J93" s="5" t="s">
        <v>355</v>
      </c>
      <c r="K93" s="7">
        <v>100</v>
      </c>
      <c r="L93" s="5" t="s">
        <v>32</v>
      </c>
      <c r="M93" s="5" t="str">
        <f>A93&amp;"|"&amp;L93</f>
        <v>N4|En seguimiento</v>
      </c>
      <c r="N93" s="5" t="s">
        <v>33</v>
      </c>
      <c r="O93" s="5" t="str">
        <f t="shared" si="1"/>
        <v>Valentina Párraga</v>
      </c>
      <c r="P93" s="5" t="s">
        <v>88</v>
      </c>
      <c r="Q93" s="8">
        <v>46267</v>
      </c>
      <c r="R93" s="8">
        <v>46268</v>
      </c>
      <c r="S93" s="12" t="s">
        <v>356</v>
      </c>
      <c r="T93" s="6">
        <v>48130000</v>
      </c>
      <c r="U93" s="5" t="s">
        <v>90</v>
      </c>
      <c r="V93" s="5" t="inlineStr">
        <is>
          <t>Otros</t>
        </is>
      </c>
    </row>
    <row r="94" spans="1:22" ht="98.25">
      <c r="A94" s="15" t="s">
        <v>195</v>
      </c>
      <c r="B94" s="15" t="s">
        <v>208</v>
      </c>
      <c r="C94" s="15" t="s">
        <v>260</v>
      </c>
      <c r="D94" s="16">
        <v>20000000</v>
      </c>
      <c r="E94" s="15" t="s">
        <v>357</v>
      </c>
      <c r="F94" s="20" t="s">
        <v>87</v>
      </c>
      <c r="G94" s="17">
        <v>100</v>
      </c>
      <c r="H94" s="20" t="s">
        <v>98</v>
      </c>
      <c r="I94" s="17">
        <v>50</v>
      </c>
      <c r="J94" s="15"/>
      <c r="K94" s="17">
        <v>50</v>
      </c>
      <c r="L94" s="15" t="s">
        <v>109</v>
      </c>
      <c r="M94" s="15" t="str">
        <f>A94&amp;"|"&amp;L94</f>
        <v>N4|Cerrada</v>
      </c>
      <c r="N94" s="15" t="s">
        <v>33</v>
      </c>
      <c r="O94" s="15" t="str">
        <f t="shared" si="1"/>
        <v>Karen Pérez</v>
      </c>
      <c r="P94" s="15" t="s">
        <v>88</v>
      </c>
      <c r="Q94" s="18">
        <v>46261</v>
      </c>
      <c r="R94" s="18">
        <v>46266</v>
      </c>
      <c r="S94" s="21" t="s">
        <v>263</v>
      </c>
      <c r="T94" s="16">
        <v>20880002</v>
      </c>
      <c r="U94" s="15" t="s">
        <v>76</v>
      </c>
      <c r="V94" s="15" t="inlineStr">
        <is>
          <t>Inmobiliario</t>
        </is>
      </c>
    </row>
    <row r="95" spans="1:22" ht="98.25">
      <c r="A95" s="5" t="s">
        <v>71</v>
      </c>
      <c r="B95" s="5" t="s">
        <v>72</v>
      </c>
      <c r="C95" s="5" t="s">
        <v>358</v>
      </c>
      <c r="D95" s="6">
        <v>40000000</v>
      </c>
      <c r="E95" s="5" t="s">
        <v>359</v>
      </c>
      <c r="F95" s="11" t="s">
        <v>87</v>
      </c>
      <c r="G95" s="7">
        <v>100</v>
      </c>
      <c r="H95" s="11" t="s">
        <v>98</v>
      </c>
      <c r="I95" s="7">
        <v>50</v>
      </c>
      <c r="J95" s="5"/>
      <c r="K95" s="7">
        <v>50</v>
      </c>
      <c r="L95" s="5" t="s">
        <v>32</v>
      </c>
      <c r="M95" s="5" t="str">
        <f>A95&amp;"|"&amp;L95</f>
        <v>N1|En seguimiento</v>
      </c>
      <c r="N95" s="5" t="s">
        <v>33</v>
      </c>
      <c r="O95" s="5" t="str">
        <f t="shared" si="1"/>
        <v>Andrea Morales</v>
      </c>
      <c r="P95" s="5" t="s">
        <v>88</v>
      </c>
      <c r="Q95" s="8">
        <v>46268</v>
      </c>
      <c r="R95" s="8">
        <v>46268</v>
      </c>
      <c r="S95" s="9" t="s">
        <v>360</v>
      </c>
      <c r="T95" s="14">
        <v>42000000</v>
      </c>
      <c r="U95" s="5" t="s">
        <v>81</v>
      </c>
      <c r="V95" s="5" t="inlineStr">
        <is>
          <t>Automotriz</t>
        </is>
      </c>
    </row>
    <row r="96" spans="1:22" ht="98.25">
      <c r="A96" s="5" t="s">
        <v>166</v>
      </c>
      <c r="B96" s="5" t="s">
        <v>186</v>
      </c>
      <c r="C96" s="5" t="s">
        <v>361</v>
      </c>
      <c r="D96" s="6">
        <v>15000000</v>
      </c>
      <c r="E96" s="5" t="s">
        <v>362</v>
      </c>
      <c r="F96" s="11" t="s">
        <v>87</v>
      </c>
      <c r="G96" s="7">
        <v>100</v>
      </c>
      <c r="H96" s="11" t="s">
        <v>98</v>
      </c>
      <c r="I96" s="7">
        <v>50</v>
      </c>
      <c r="J96" s="5"/>
      <c r="K96" s="7">
        <v>50</v>
      </c>
      <c r="L96" s="5" t="s">
        <v>32</v>
      </c>
      <c r="M96" s="5" t="str">
        <f>A96&amp;"|"&amp;L96</f>
        <v>N3|En seguimiento</v>
      </c>
      <c r="N96" s="5" t="s">
        <v>33</v>
      </c>
      <c r="O96" s="5" t="str">
        <f t="shared" si="1"/>
        <v>Laura Sofía Calvera</v>
      </c>
      <c r="P96" s="5" t="s">
        <v>88</v>
      </c>
      <c r="Q96" s="8">
        <v>46267</v>
      </c>
      <c r="R96" s="8">
        <v>46268</v>
      </c>
      <c r="S96" s="9" t="s">
        <v>363</v>
      </c>
      <c r="T96" s="14">
        <v>15880000</v>
      </c>
      <c r="U96" s="5" t="s">
        <v>81</v>
      </c>
      <c r="V96" s="5" t="inlineStr">
        <is>
          <t>Educación</t>
        </is>
      </c>
    </row>
    <row r="97" spans="1:22" ht="98.25">
      <c r="A97" s="5" t="s">
        <v>166</v>
      </c>
      <c r="B97" s="5" t="s">
        <v>186</v>
      </c>
      <c r="C97" s="5" t="s">
        <v>311</v>
      </c>
      <c r="D97" s="6">
        <v>40000000</v>
      </c>
      <c r="E97" s="5" t="s">
        <v>364</v>
      </c>
      <c r="F97" s="11" t="s">
        <v>87</v>
      </c>
      <c r="G97" s="7">
        <v>100</v>
      </c>
      <c r="H97" s="11" t="s">
        <v>98</v>
      </c>
      <c r="I97" s="7">
        <v>50</v>
      </c>
      <c r="J97" s="5"/>
      <c r="K97" s="7">
        <v>50</v>
      </c>
      <c r="L97" s="5" t="s">
        <v>32</v>
      </c>
      <c r="M97" s="5" t="str">
        <f>A97&amp;"|"&amp;L97</f>
        <v>N3|En seguimiento</v>
      </c>
      <c r="N97" s="5" t="s">
        <v>33</v>
      </c>
      <c r="O97" s="5" t="str">
        <f t="shared" si="1"/>
        <v>Laura Sofía Calvera</v>
      </c>
      <c r="P97" s="5" t="s">
        <v>88</v>
      </c>
      <c r="Q97" s="8">
        <v>46268</v>
      </c>
      <c r="R97" s="8">
        <v>46268</v>
      </c>
      <c r="S97" s="9" t="s">
        <v>365</v>
      </c>
      <c r="T97" s="14">
        <v>44665000</v>
      </c>
      <c r="U97" s="5" t="s">
        <v>81</v>
      </c>
      <c r="V97" s="5" t="inlineStr">
        <is>
          <t>Viajes</t>
        </is>
      </c>
    </row>
    <row r="98" spans="1:22" ht="98.25">
      <c r="A98" s="5" t="s">
        <v>166</v>
      </c>
      <c r="B98" s="5" t="s">
        <v>186</v>
      </c>
      <c r="C98" s="5" t="s">
        <v>366</v>
      </c>
      <c r="D98" s="6">
        <v>65000000</v>
      </c>
      <c r="E98" s="5" t="s">
        <v>367</v>
      </c>
      <c r="F98" s="11" t="s">
        <v>87</v>
      </c>
      <c r="G98" s="7">
        <v>100</v>
      </c>
      <c r="H98" s="11" t="s">
        <v>98</v>
      </c>
      <c r="I98" s="7">
        <v>50</v>
      </c>
      <c r="J98" s="5"/>
      <c r="K98" s="7">
        <v>50</v>
      </c>
      <c r="L98" s="5" t="s">
        <v>32</v>
      </c>
      <c r="M98" s="5" t="str">
        <f>A98&amp;"|"&amp;L98</f>
        <v>N3|En seguimiento</v>
      </c>
      <c r="N98" s="5" t="s">
        <v>33</v>
      </c>
      <c r="O98" s="5" t="str">
        <f t="shared" si="1"/>
        <v>Laura Sofía Calvera</v>
      </c>
      <c r="P98" s="5" t="s">
        <v>88</v>
      </c>
      <c r="Q98" s="8">
        <v>46268</v>
      </c>
      <c r="R98" s="8">
        <v>46268</v>
      </c>
      <c r="S98" s="9" t="s">
        <v>368</v>
      </c>
      <c r="T98" s="14">
        <v>69504000</v>
      </c>
      <c r="U98" s="5" t="s">
        <v>81</v>
      </c>
      <c r="V98" s="5" t="inlineStr">
        <is>
          <t>Consumo Masivo</t>
        </is>
      </c>
    </row>
    <row r="99" spans="1:22" ht="98.25">
      <c r="A99" s="5" t="s">
        <v>166</v>
      </c>
      <c r="B99" s="5" t="s">
        <v>176</v>
      </c>
      <c r="C99" s="5" t="s">
        <v>369</v>
      </c>
      <c r="D99" s="6">
        <v>38000000</v>
      </c>
      <c r="E99" s="5" t="s">
        <v>370</v>
      </c>
      <c r="F99" s="11" t="s">
        <v>87</v>
      </c>
      <c r="G99" s="7">
        <v>100</v>
      </c>
      <c r="H99" s="11" t="s">
        <v>98</v>
      </c>
      <c r="I99" s="7">
        <v>50</v>
      </c>
      <c r="J99" s="5"/>
      <c r="K99" s="7">
        <v>50</v>
      </c>
      <c r="L99" s="5" t="s">
        <v>32</v>
      </c>
      <c r="M99" s="5" t="str">
        <f>A99&amp;"|"&amp;L99</f>
        <v>N3|En seguimiento</v>
      </c>
      <c r="N99" s="5" t="s">
        <v>33</v>
      </c>
      <c r="O99" s="5" t="str">
        <f t="shared" si="1"/>
        <v>Diana Andrea Rodiguez</v>
      </c>
      <c r="P99" s="5" t="s">
        <v>95</v>
      </c>
      <c r="Q99" s="8">
        <v>46258</v>
      </c>
      <c r="R99" s="8">
        <v>46262</v>
      </c>
      <c r="S99" s="9" t="s">
        <v>371</v>
      </c>
      <c r="T99" s="14">
        <v>38000000</v>
      </c>
      <c r="U99" s="5" t="s">
        <v>81</v>
      </c>
      <c r="V99" s="5" t="inlineStr">
        <is>
          <t>Tecnología</t>
        </is>
      </c>
    </row>
    <row r="100" spans="1:22" ht="98.25">
      <c r="A100" s="5" t="s">
        <v>221</v>
      </c>
      <c r="B100" s="5" t="s">
        <v>222</v>
      </c>
      <c r="C100" s="5" t="s">
        <v>372</v>
      </c>
      <c r="D100" s="6">
        <v>40000000</v>
      </c>
      <c r="E100" s="5" t="s">
        <v>359</v>
      </c>
      <c r="F100" s="11" t="s">
        <v>87</v>
      </c>
      <c r="G100" s="7">
        <v>100</v>
      </c>
      <c r="H100" s="11" t="s">
        <v>98</v>
      </c>
      <c r="I100" s="7">
        <v>50</v>
      </c>
      <c r="J100" s="5"/>
      <c r="K100" s="7">
        <v>50</v>
      </c>
      <c r="L100" s="5" t="s">
        <v>32</v>
      </c>
      <c r="M100" s="5" t="str">
        <f>A100&amp;"|"&amp;L100</f>
        <v>N5|En seguimiento</v>
      </c>
      <c r="N100" s="5" t="s">
        <v>33</v>
      </c>
      <c r="O100" s="5" t="str">
        <f t="shared" si="1"/>
        <v>Luz Karime Hernandez</v>
      </c>
      <c r="P100" s="5" t="s">
        <v>88</v>
      </c>
      <c r="Q100" s="8">
        <v>46266</v>
      </c>
      <c r="R100" s="8">
        <v>46266</v>
      </c>
      <c r="S100" s="9" t="s">
        <v>373</v>
      </c>
      <c r="T100" s="14">
        <v>42000000</v>
      </c>
      <c r="U100" s="5" t="s">
        <v>81</v>
      </c>
      <c r="V100" s="5" t="inlineStr">
        <is>
          <t>Automotriz</t>
        </is>
      </c>
    </row>
    <row r="101" spans="1:22" ht="123">
      <c r="A101" s="5" t="s">
        <v>195</v>
      </c>
      <c r="B101" s="5" t="s">
        <v>208</v>
      </c>
      <c r="C101" s="5" t="s">
        <v>374</v>
      </c>
      <c r="D101" s="6">
        <v>55000000</v>
      </c>
      <c r="E101" s="5" t="s">
        <v>375</v>
      </c>
      <c r="F101" s="11" t="s">
        <v>87</v>
      </c>
      <c r="G101" s="7">
        <v>100</v>
      </c>
      <c r="H101" s="11" t="s">
        <v>98</v>
      </c>
      <c r="I101" s="7">
        <v>50</v>
      </c>
      <c r="J101" s="5"/>
      <c r="K101" s="7">
        <v>50</v>
      </c>
      <c r="L101" s="5" t="s">
        <v>32</v>
      </c>
      <c r="M101" s="5" t="str">
        <f>A101&amp;"|"&amp;L101</f>
        <v>N4|En seguimiento</v>
      </c>
      <c r="N101" s="5" t="s">
        <v>33</v>
      </c>
      <c r="O101" s="5" t="str">
        <f t="shared" si="1"/>
        <v>Karen Pérez</v>
      </c>
      <c r="P101" s="5" t="s">
        <v>88</v>
      </c>
      <c r="Q101" s="8">
        <v>46265</v>
      </c>
      <c r="R101" s="8">
        <v>46268</v>
      </c>
      <c r="S101" s="9" t="s">
        <v>376</v>
      </c>
      <c r="T101" s="14">
        <v>57127000</v>
      </c>
      <c r="U101" s="5" t="s">
        <v>81</v>
      </c>
      <c r="V101" s="5" t="inlineStr">
        <is>
          <t>Banca</t>
        </is>
      </c>
    </row>
    <row r="102" spans="1:22" ht="98.25">
      <c r="A102" s="5" t="s">
        <v>166</v>
      </c>
      <c r="B102" s="5" t="s">
        <v>186</v>
      </c>
      <c r="C102" s="5" t="s">
        <v>377</v>
      </c>
      <c r="D102" s="6">
        <v>25000000</v>
      </c>
      <c r="E102" s="5" t="s">
        <v>378</v>
      </c>
      <c r="F102" s="11" t="s">
        <v>87</v>
      </c>
      <c r="G102" s="7">
        <v>100</v>
      </c>
      <c r="H102" s="11" t="s">
        <v>98</v>
      </c>
      <c r="I102" s="7">
        <v>50</v>
      </c>
      <c r="J102" s="5"/>
      <c r="K102" s="7">
        <v>50</v>
      </c>
      <c r="L102" s="5" t="s">
        <v>32</v>
      </c>
      <c r="M102" s="5" t="str">
        <f>A102&amp;"|"&amp;L102</f>
        <v>N3|En seguimiento</v>
      </c>
      <c r="N102" s="5" t="s">
        <v>33</v>
      </c>
      <c r="O102" s="5" t="str">
        <f t="shared" si="1"/>
        <v>Laura Sofía Calvera</v>
      </c>
      <c r="P102" s="5" t="s">
        <v>88</v>
      </c>
      <c r="Q102" s="8">
        <v>46272</v>
      </c>
      <c r="R102" s="8">
        <v>46276</v>
      </c>
      <c r="S102" s="9" t="s">
        <v>379</v>
      </c>
      <c r="T102" s="14">
        <v>27000000</v>
      </c>
      <c r="U102" s="5" t="s">
        <v>81</v>
      </c>
      <c r="V102" s="5" t="inlineStr">
        <is>
          <t>Otros</t>
        </is>
      </c>
    </row>
    <row r="103" spans="1:22" ht="98.25">
      <c r="A103" s="5" t="s">
        <v>195</v>
      </c>
      <c r="B103" s="5" t="s">
        <v>208</v>
      </c>
      <c r="C103" s="5" t="s">
        <v>260</v>
      </c>
      <c r="D103" s="6">
        <v>40000000</v>
      </c>
      <c r="E103" s="5" t="s">
        <v>357</v>
      </c>
      <c r="F103" s="11" t="s">
        <v>87</v>
      </c>
      <c r="G103" s="7">
        <v>100</v>
      </c>
      <c r="H103" s="11" t="s">
        <v>98</v>
      </c>
      <c r="I103" s="7">
        <v>50</v>
      </c>
      <c r="J103" s="5"/>
      <c r="K103" s="7">
        <v>50</v>
      </c>
      <c r="L103" s="5" t="s">
        <v>32</v>
      </c>
      <c r="M103" s="5" t="str">
        <f>A103&amp;"|"&amp;L103</f>
        <v>N4|En seguimiento</v>
      </c>
      <c r="N103" s="5" t="s">
        <v>33</v>
      </c>
      <c r="O103" s="5" t="str">
        <f t="shared" si="1"/>
        <v>Karen Pérez</v>
      </c>
      <c r="P103" s="5" t="s">
        <v>88</v>
      </c>
      <c r="Q103" s="8">
        <v>46272</v>
      </c>
      <c r="R103" s="8">
        <v>46275</v>
      </c>
      <c r="S103" s="9" t="s">
        <v>380</v>
      </c>
      <c r="T103" s="6">
        <v>50000000</v>
      </c>
      <c r="U103" s="5" t="s">
        <v>81</v>
      </c>
      <c r="V103" s="5" t="inlineStr">
        <is>
          <t>Inmobiliario</t>
        </is>
      </c>
    </row>
    <row r="104" spans="1:22" ht="98.25">
      <c r="A104" s="5" t="s">
        <v>166</v>
      </c>
      <c r="B104" s="11" t="s">
        <v>381</v>
      </c>
      <c r="C104" s="13" t="s">
        <v>382</v>
      </c>
      <c r="D104" s="26">
        <v>20000000</v>
      </c>
      <c r="E104" s="13" t="s">
        <v>383</v>
      </c>
      <c r="F104" s="11" t="s">
        <v>87</v>
      </c>
      <c r="G104" s="7">
        <v>100</v>
      </c>
      <c r="H104" s="11" t="s">
        <v>98</v>
      </c>
      <c r="I104" s="7">
        <v>50</v>
      </c>
      <c r="J104" s="5"/>
      <c r="K104" s="7">
        <v>50</v>
      </c>
      <c r="L104" s="5" t="s">
        <v>32</v>
      </c>
      <c r="M104" s="5" t="str">
        <f>A104&amp;"|"&amp;L104</f>
        <v>N3|En seguimiento</v>
      </c>
      <c r="N104" s="5" t="s">
        <v>68</v>
      </c>
      <c r="O104" s="5" t="str">
        <f t="shared" si="1"/>
        <v>Hugo Urrea</v>
      </c>
      <c r="P104" s="5" t="s">
        <v>88</v>
      </c>
      <c r="Q104" s="8">
        <v>46272</v>
      </c>
      <c r="R104" s="8">
        <v>46274</v>
      </c>
      <c r="S104" s="9" t="s">
        <v>384</v>
      </c>
      <c r="T104" s="6">
        <v>30000000</v>
      </c>
      <c r="U104" s="5" t="s">
        <v>81</v>
      </c>
      <c r="V104" s="5" t="inlineStr">
        <is>
          <t>Consumo Masivo</t>
        </is>
      </c>
    </row>
    <row r="105" spans="1:22" ht="98.25">
      <c r="A105" s="5" t="s">
        <v>166</v>
      </c>
      <c r="B105" s="11" t="s">
        <v>278</v>
      </c>
      <c r="C105" s="13" t="s">
        <v>385</v>
      </c>
      <c r="D105" s="26">
        <v>15000000</v>
      </c>
      <c r="E105" s="13" t="s">
        <v>383</v>
      </c>
      <c r="F105" s="11" t="s">
        <v>87</v>
      </c>
      <c r="G105" s="7">
        <v>100</v>
      </c>
      <c r="H105" s="11" t="s">
        <v>98</v>
      </c>
      <c r="I105" s="7">
        <v>50</v>
      </c>
      <c r="J105" s="5"/>
      <c r="K105" s="7">
        <v>50</v>
      </c>
      <c r="L105" s="5" t="s">
        <v>32</v>
      </c>
      <c r="M105" s="5" t="str">
        <f>A105&amp;"|"&amp;L105</f>
        <v>N3|En seguimiento</v>
      </c>
      <c r="N105" s="5" t="s">
        <v>68</v>
      </c>
      <c r="O105" s="5" t="str">
        <f t="shared" si="1"/>
        <v>Elsa Cortez</v>
      </c>
      <c r="P105" s="5" t="s">
        <v>88</v>
      </c>
      <c r="Q105" s="8">
        <v>46279</v>
      </c>
      <c r="R105" s="8">
        <v>46279</v>
      </c>
      <c r="S105" s="9" t="s">
        <v>386</v>
      </c>
      <c r="T105" s="6">
        <v>25000000</v>
      </c>
      <c r="U105" s="5" t="s">
        <v>81</v>
      </c>
      <c r="V105" s="5" t="inlineStr">
        <is>
          <t>Salud</t>
        </is>
      </c>
    </row>
    <row r="106" spans="1:22" ht="98.25">
      <c r="A106" s="5" t="s">
        <v>166</v>
      </c>
      <c r="B106" s="11" t="s">
        <v>381</v>
      </c>
      <c r="C106" s="13" t="s">
        <v>387</v>
      </c>
      <c r="D106" s="26">
        <v>20000000</v>
      </c>
      <c r="E106" s="13" t="s">
        <v>388</v>
      </c>
      <c r="F106" s="11" t="s">
        <v>87</v>
      </c>
      <c r="G106" s="7">
        <v>100</v>
      </c>
      <c r="H106" s="11" t="s">
        <v>98</v>
      </c>
      <c r="I106" s="7">
        <v>50</v>
      </c>
      <c r="J106" s="5"/>
      <c r="K106" s="7">
        <v>50</v>
      </c>
      <c r="L106" s="5" t="s">
        <v>32</v>
      </c>
      <c r="M106" s="5" t="str">
        <f>A106&amp;"|"&amp;L106</f>
        <v>N3|En seguimiento</v>
      </c>
      <c r="N106" s="5" t="s">
        <v>68</v>
      </c>
      <c r="O106" s="5" t="str">
        <f t="shared" si="1"/>
        <v>Hugo Urrea</v>
      </c>
      <c r="P106" s="5" t="s">
        <v>88</v>
      </c>
      <c r="Q106" s="8">
        <v>46276</v>
      </c>
      <c r="R106" s="8">
        <v>46280</v>
      </c>
      <c r="S106" s="9" t="s">
        <v>389</v>
      </c>
      <c r="T106" s="6">
        <v>27000000</v>
      </c>
      <c r="U106" s="5" t="s">
        <v>81</v>
      </c>
      <c r="V106" s="5" t="inlineStr">
        <is>
          <t>Consumo Masivo</t>
        </is>
      </c>
    </row>
    <row r="107" spans="1:22" ht="98.25">
      <c r="A107" s="5" t="s">
        <v>221</v>
      </c>
      <c r="B107" s="11" t="s">
        <v>390</v>
      </c>
      <c r="C107" s="13" t="s">
        <v>391</v>
      </c>
      <c r="D107" s="26">
        <v>35000000</v>
      </c>
      <c r="E107" s="13" t="s">
        <v>392</v>
      </c>
      <c r="F107" s="11" t="s">
        <v>87</v>
      </c>
      <c r="G107" s="7">
        <v>100</v>
      </c>
      <c r="H107" s="11" t="s">
        <v>98</v>
      </c>
      <c r="I107" s="7">
        <v>50</v>
      </c>
      <c r="J107" s="5"/>
      <c r="K107" s="7">
        <v>50</v>
      </c>
      <c r="L107" s="5" t="s">
        <v>32</v>
      </c>
      <c r="M107" s="5" t="str">
        <f>A107&amp;"|"&amp;L107</f>
        <v>N5|En seguimiento</v>
      </c>
      <c r="N107" s="5" t="s">
        <v>68</v>
      </c>
      <c r="O107" s="5" t="str">
        <f t="shared" si="1"/>
        <v>Raul Herrera</v>
      </c>
      <c r="P107" s="5" t="s">
        <v>88</v>
      </c>
      <c r="Q107" s="8">
        <v>46279</v>
      </c>
      <c r="R107" s="8">
        <v>46280</v>
      </c>
      <c r="S107" s="9" t="s">
        <v>389</v>
      </c>
      <c r="T107" s="6">
        <v>40000000</v>
      </c>
      <c r="U107" s="5" t="s">
        <v>81</v>
      </c>
      <c r="V107" s="5" t="inlineStr">
        <is>
          <t>Salud</t>
        </is>
      </c>
    </row>
    <row r="108" spans="1:22" ht="98.25">
      <c r="A108" s="5" t="s">
        <v>195</v>
      </c>
      <c r="B108" s="11" t="s">
        <v>264</v>
      </c>
      <c r="C108" s="13" t="s">
        <v>393</v>
      </c>
      <c r="D108" s="26">
        <v>25000000</v>
      </c>
      <c r="E108" s="13" t="s">
        <v>394</v>
      </c>
      <c r="F108" s="11" t="s">
        <v>87</v>
      </c>
      <c r="G108" s="7">
        <v>100</v>
      </c>
      <c r="H108" s="11" t="s">
        <v>98</v>
      </c>
      <c r="I108" s="7">
        <v>50</v>
      </c>
      <c r="J108" s="5"/>
      <c r="K108" s="7">
        <v>50</v>
      </c>
      <c r="L108" s="5" t="s">
        <v>32</v>
      </c>
      <c r="M108" s="5" t="str">
        <f>A108&amp;"|"&amp;L108</f>
        <v>N4|En seguimiento</v>
      </c>
      <c r="N108" s="5" t="s">
        <v>68</v>
      </c>
      <c r="O108" s="5" t="str">
        <f t="shared" si="1"/>
        <v>Mauricio Agudelo</v>
      </c>
      <c r="P108" s="5" t="s">
        <v>88</v>
      </c>
      <c r="Q108" s="8">
        <v>46281</v>
      </c>
      <c r="R108" s="8">
        <v>46281</v>
      </c>
      <c r="S108" s="12" t="s">
        <v>395</v>
      </c>
      <c r="T108" s="6">
        <v>30000000</v>
      </c>
      <c r="U108" s="5" t="s">
        <v>81</v>
      </c>
      <c r="V108" s="5" t="inlineStr">
        <is>
          <t>Banca</t>
        </is>
      </c>
    </row>
    <row r="109" spans="1:22" ht="98.25">
      <c r="A109" s="5" t="s">
        <v>71</v>
      </c>
      <c r="B109" s="11" t="s">
        <v>300</v>
      </c>
      <c r="C109" s="13" t="s">
        <v>396</v>
      </c>
      <c r="D109" s="26">
        <v>40000000</v>
      </c>
      <c r="E109" s="13" t="s">
        <v>397</v>
      </c>
      <c r="F109" s="11" t="s">
        <v>87</v>
      </c>
      <c r="G109" s="7">
        <v>100</v>
      </c>
      <c r="H109" s="11" t="s">
        <v>98</v>
      </c>
      <c r="I109" s="7">
        <v>50</v>
      </c>
      <c r="J109" s="5"/>
      <c r="K109" s="7">
        <v>50</v>
      </c>
      <c r="L109" s="5" t="s">
        <v>32</v>
      </c>
      <c r="M109" s="5" t="str">
        <f>A109&amp;"|"&amp;L109</f>
        <v>N1|En seguimiento</v>
      </c>
      <c r="N109" s="5" t="s">
        <v>68</v>
      </c>
      <c r="O109" s="5" t="str">
        <f t="shared" si="1"/>
        <v>Rosa Díaz</v>
      </c>
      <c r="P109" s="5" t="s">
        <v>88</v>
      </c>
      <c r="Q109" s="8">
        <v>46283</v>
      </c>
      <c r="R109" s="8">
        <v>46283</v>
      </c>
      <c r="S109" s="9" t="s">
        <v>398</v>
      </c>
      <c r="T109" s="6">
        <v>40000000</v>
      </c>
      <c r="U109" s="5" t="s">
        <v>81</v>
      </c>
      <c r="V109" s="5" t="inlineStr">
        <is>
          <t>Automotriz</t>
        </is>
      </c>
    </row>
    <row r="110" spans="1:22" ht="98.25">
      <c r="A110" s="5" t="s">
        <v>221</v>
      </c>
      <c r="B110" s="13" t="s">
        <v>227</v>
      </c>
      <c r="C110" s="5" t="s">
        <v>399</v>
      </c>
      <c r="D110" s="26">
        <v>64780000</v>
      </c>
      <c r="E110" s="5" t="s">
        <v>400</v>
      </c>
      <c r="F110" s="11" t="s">
        <v>87</v>
      </c>
      <c r="G110" s="7">
        <v>100</v>
      </c>
      <c r="H110" s="11" t="s">
        <v>98</v>
      </c>
      <c r="I110" s="7">
        <v>50</v>
      </c>
      <c r="J110" s="5"/>
      <c r="K110" s="7">
        <v>50</v>
      </c>
      <c r="L110" s="5" t="s">
        <v>32</v>
      </c>
      <c r="M110" s="5" t="str">
        <f>A110&amp;"|"&amp;L110</f>
        <v>N5|En seguimiento</v>
      </c>
      <c r="N110" s="5" t="s">
        <v>68</v>
      </c>
      <c r="O110" s="5" t="str">
        <f t="shared" si="1"/>
        <v>Ana Maria Castañeda</v>
      </c>
      <c r="P110" s="5" t="s">
        <v>88</v>
      </c>
      <c r="Q110" s="8">
        <v>46282</v>
      </c>
      <c r="R110" s="8">
        <v>46282</v>
      </c>
      <c r="S110" s="12" t="s">
        <v>401</v>
      </c>
      <c r="T110" s="26">
        <v>64780000</v>
      </c>
      <c r="U110" s="5" t="s">
        <v>90</v>
      </c>
      <c r="V110" s="5" t="inlineStr">
        <is>
          <t>Tecnología</t>
        </is>
      </c>
    </row>
    <row r="111" spans="1:22" ht="98.25">
      <c r="A111" s="5" t="s">
        <v>221</v>
      </c>
      <c r="B111" s="13" t="s">
        <v>222</v>
      </c>
      <c r="C111" s="5" t="s">
        <v>402</v>
      </c>
      <c r="D111" s="26">
        <v>12000000</v>
      </c>
      <c r="E111" s="5" t="s">
        <v>400</v>
      </c>
      <c r="F111" s="11" t="s">
        <v>87</v>
      </c>
      <c r="G111" s="7">
        <v>100</v>
      </c>
      <c r="H111" s="11" t="s">
        <v>98</v>
      </c>
      <c r="I111" s="7">
        <v>50</v>
      </c>
      <c r="J111" s="5"/>
      <c r="K111" s="7">
        <v>50</v>
      </c>
      <c r="L111" s="5" t="s">
        <v>32</v>
      </c>
      <c r="M111" s="5" t="str">
        <f>A111&amp;"|"&amp;L111</f>
        <v>N5|En seguimiento</v>
      </c>
      <c r="N111" s="5" t="s">
        <v>68</v>
      </c>
      <c r="O111" s="5" t="str">
        <f t="shared" si="1"/>
        <v>Luz Karime Hernandez</v>
      </c>
      <c r="P111" s="5" t="s">
        <v>88</v>
      </c>
      <c r="Q111" s="8">
        <v>46280</v>
      </c>
      <c r="R111" s="8">
        <v>46283</v>
      </c>
      <c r="S111" s="12" t="s">
        <v>403</v>
      </c>
      <c r="T111" s="26">
        <v>7800000</v>
      </c>
      <c r="U111" s="5" t="s">
        <v>76</v>
      </c>
      <c r="V111" s="5" t="inlineStr">
        <is>
          <t>Tecnología</t>
        </is>
      </c>
    </row>
    <row r="112" spans="1:22" ht="98.25">
      <c r="A112" s="5" t="s">
        <v>126</v>
      </c>
      <c r="B112" s="11" t="s">
        <v>138</v>
      </c>
      <c r="C112" s="13" t="s">
        <v>404</v>
      </c>
      <c r="D112" s="6">
        <v>50000000</v>
      </c>
      <c r="E112" s="5" t="s">
        <v>405</v>
      </c>
      <c r="F112" s="11" t="s">
        <v>87</v>
      </c>
      <c r="G112" s="7">
        <v>100</v>
      </c>
      <c r="H112" s="11" t="s">
        <v>98</v>
      </c>
      <c r="I112" s="7">
        <v>50</v>
      </c>
      <c r="J112" s="11"/>
      <c r="K112" s="7">
        <v>50</v>
      </c>
      <c r="L112" s="5" t="s">
        <v>32</v>
      </c>
      <c r="M112" s="5" t="str">
        <f>A112&amp;"|"&amp;L112</f>
        <v>N2|En seguimiento</v>
      </c>
      <c r="N112" s="5" t="s">
        <v>68</v>
      </c>
      <c r="O112" s="5" t="str">
        <f t="shared" si="1"/>
        <v>Luisa Escobar</v>
      </c>
      <c r="P112" s="5" t="s">
        <v>88</v>
      </c>
      <c r="Q112" s="8">
        <v>46286</v>
      </c>
      <c r="R112" s="8">
        <v>46288</v>
      </c>
      <c r="S112" s="12" t="s">
        <v>406</v>
      </c>
      <c r="T112" s="6">
        <v>56000000</v>
      </c>
      <c r="U112" s="5" t="s">
        <v>81</v>
      </c>
      <c r="V112" s="5" t="inlineStr">
        <is>
          <t>Inmobiliario</t>
        </is>
      </c>
    </row>
    <row r="113" spans="1:22" ht="98.25">
      <c r="A113" s="5" t="s">
        <v>166</v>
      </c>
      <c r="B113" s="5" t="s">
        <v>176</v>
      </c>
      <c r="C113" s="5" t="s">
        <v>184</v>
      </c>
      <c r="D113" s="6">
        <v>50000000</v>
      </c>
      <c r="E113" s="5" t="s">
        <v>407</v>
      </c>
      <c r="F113" s="11" t="s">
        <v>87</v>
      </c>
      <c r="G113" s="7">
        <v>100</v>
      </c>
      <c r="H113" s="11" t="s">
        <v>98</v>
      </c>
      <c r="I113" s="7">
        <v>50</v>
      </c>
      <c r="J113" s="5"/>
      <c r="K113" s="7">
        <v>50</v>
      </c>
      <c r="L113" s="5" t="s">
        <v>32</v>
      </c>
      <c r="M113" s="5" t="str">
        <f>A113&amp;"|"&amp;L113</f>
        <v>N3|En seguimiento</v>
      </c>
      <c r="N113" s="5" t="s">
        <v>33</v>
      </c>
      <c r="O113" s="5" t="str">
        <f t="shared" si="1"/>
        <v>Diana Andrea Rodiguez</v>
      </c>
      <c r="P113" s="5" t="s">
        <v>88</v>
      </c>
      <c r="Q113" s="8">
        <v>46286</v>
      </c>
      <c r="R113" s="8">
        <v>46288</v>
      </c>
      <c r="S113" s="12" t="s">
        <v>408</v>
      </c>
      <c r="T113" s="14">
        <v>52000000</v>
      </c>
      <c r="U113" s="5" t="s">
        <v>81</v>
      </c>
      <c r="V113" s="5" t="inlineStr">
        <is>
          <t>Moda</t>
        </is>
      </c>
    </row>
    <row r="114" spans="1:22" ht="98.25">
      <c r="A114" s="5" t="s">
        <v>166</v>
      </c>
      <c r="B114" s="5" t="s">
        <v>176</v>
      </c>
      <c r="C114" s="5" t="s">
        <v>409</v>
      </c>
      <c r="D114" s="6">
        <v>50000000</v>
      </c>
      <c r="E114" s="5" t="s">
        <v>407</v>
      </c>
      <c r="F114" s="11" t="s">
        <v>87</v>
      </c>
      <c r="G114" s="7">
        <v>100</v>
      </c>
      <c r="H114" s="11" t="s">
        <v>98</v>
      </c>
      <c r="I114" s="7">
        <v>50</v>
      </c>
      <c r="J114" s="5"/>
      <c r="K114" s="7">
        <v>50</v>
      </c>
      <c r="L114" s="5" t="s">
        <v>32</v>
      </c>
      <c r="M114" s="5" t="str">
        <f>A114&amp;"|"&amp;L114</f>
        <v>N3|En seguimiento</v>
      </c>
      <c r="N114" s="5" t="s">
        <v>33</v>
      </c>
      <c r="O114" s="5" t="str">
        <f t="shared" si="1"/>
        <v>Diana Andrea Rodiguez</v>
      </c>
      <c r="P114" s="5" t="s">
        <v>88</v>
      </c>
      <c r="Q114" s="8">
        <v>46286</v>
      </c>
      <c r="R114" s="8">
        <v>46288</v>
      </c>
      <c r="S114" s="12" t="s">
        <v>410</v>
      </c>
      <c r="T114" s="14">
        <v>88000000</v>
      </c>
      <c r="U114" s="5" t="s">
        <v>90</v>
      </c>
      <c r="V114" s="5" t="inlineStr">
        <is>
          <t>Consumo Masivo</t>
        </is>
      </c>
    </row>
    <row r="115" spans="1:22" ht="98.25">
      <c r="A115" s="15" t="s">
        <v>126</v>
      </c>
      <c r="B115" s="20" t="s">
        <v>156</v>
      </c>
      <c r="C115" s="24" t="s">
        <v>411</v>
      </c>
      <c r="D115" s="16">
        <v>22000000</v>
      </c>
      <c r="E115" s="15" t="s">
        <v>412</v>
      </c>
      <c r="F115" s="20" t="s">
        <v>87</v>
      </c>
      <c r="G115" s="17">
        <v>100</v>
      </c>
      <c r="H115" s="20" t="s">
        <v>98</v>
      </c>
      <c r="I115" s="17">
        <v>50</v>
      </c>
      <c r="J115" s="15"/>
      <c r="K115" s="17">
        <v>50</v>
      </c>
      <c r="L115" s="15" t="s">
        <v>109</v>
      </c>
      <c r="M115" s="15" t="str">
        <f>A115&amp;"|"&amp;L115</f>
        <v>N2|Cerrada</v>
      </c>
      <c r="N115" s="15" t="s">
        <v>68</v>
      </c>
      <c r="O115" s="15" t="str">
        <f t="shared" si="1"/>
        <v>Lina Lemus</v>
      </c>
      <c r="P115" s="15" t="s">
        <v>88</v>
      </c>
      <c r="Q115" s="18">
        <v>46317</v>
      </c>
      <c r="R115" s="18">
        <v>46318</v>
      </c>
      <c r="S115" s="21" t="s">
        <v>413</v>
      </c>
      <c r="T115" s="16">
        <v>22000000</v>
      </c>
      <c r="U115" s="15" t="s">
        <v>90</v>
      </c>
      <c r="V115" s="15" t="inlineStr">
        <is>
          <t>Tecnología</t>
        </is>
      </c>
    </row>
    <row r="116" spans="1:22" ht="98.25">
      <c r="A116" s="5" t="s">
        <v>126</v>
      </c>
      <c r="B116" s="11" t="s">
        <v>156</v>
      </c>
      <c r="C116" s="13" t="s">
        <v>414</v>
      </c>
      <c r="D116" s="6">
        <v>80096000</v>
      </c>
      <c r="E116" s="5" t="s">
        <v>415</v>
      </c>
      <c r="F116" s="11" t="s">
        <v>87</v>
      </c>
      <c r="G116" s="7">
        <v>100</v>
      </c>
      <c r="H116" s="11" t="s">
        <v>98</v>
      </c>
      <c r="I116" s="7">
        <v>50</v>
      </c>
      <c r="J116" s="5"/>
      <c r="K116" s="7">
        <v>50</v>
      </c>
      <c r="L116" s="5" t="s">
        <v>32</v>
      </c>
      <c r="M116" s="5" t="str">
        <f>A116&amp;"|"&amp;L116</f>
        <v>N2|En seguimiento</v>
      </c>
      <c r="N116" s="5" t="s">
        <v>68</v>
      </c>
      <c r="O116" s="5" t="str">
        <f t="shared" si="1"/>
        <v>Lina Lemus</v>
      </c>
      <c r="P116" s="5" t="s">
        <v>88</v>
      </c>
      <c r="Q116" s="8">
        <v>46288</v>
      </c>
      <c r="R116" s="8">
        <v>46288</v>
      </c>
      <c r="S116" s="12" t="s">
        <v>416</v>
      </c>
      <c r="T116" s="6">
        <v>80096000</v>
      </c>
      <c r="U116" s="5" t="s">
        <v>76</v>
      </c>
      <c r="V116" s="5" t="inlineStr">
        <is>
          <t>Consumo Masivo</t>
        </is>
      </c>
    </row>
    <row r="117" spans="1:22" ht="98.25">
      <c r="A117" s="5" t="s">
        <v>166</v>
      </c>
      <c r="B117" s="5" t="s">
        <v>176</v>
      </c>
      <c r="C117" s="13" t="s">
        <v>417</v>
      </c>
      <c r="D117" s="6">
        <v>36500000</v>
      </c>
      <c r="E117" s="5" t="s">
        <v>418</v>
      </c>
      <c r="F117" s="11" t="s">
        <v>87</v>
      </c>
      <c r="G117" s="7">
        <v>100</v>
      </c>
      <c r="H117" s="11" t="s">
        <v>98</v>
      </c>
      <c r="I117" s="7">
        <v>50</v>
      </c>
      <c r="J117" s="5"/>
      <c r="K117" s="7">
        <v>50</v>
      </c>
      <c r="L117" s="5" t="s">
        <v>32</v>
      </c>
      <c r="M117" s="5" t="str">
        <f>A117&amp;"|"&amp;L117</f>
        <v>N3|En seguimiento</v>
      </c>
      <c r="N117" s="5" t="s">
        <v>68</v>
      </c>
      <c r="O117" s="5" t="str">
        <f t="shared" si="1"/>
        <v>Diana Andrea Rodiguez</v>
      </c>
      <c r="P117" s="5" t="s">
        <v>88</v>
      </c>
      <c r="Q117" s="8">
        <v>46282</v>
      </c>
      <c r="R117" s="8">
        <v>46288</v>
      </c>
      <c r="S117" s="12" t="s">
        <v>416</v>
      </c>
      <c r="T117" s="6">
        <v>36500000</v>
      </c>
      <c r="U117" s="5" t="s">
        <v>76</v>
      </c>
      <c r="V117" s="5" t="inlineStr">
        <is>
          <t>Consumo Masivo</t>
        </is>
      </c>
    </row>
    <row r="118" spans="1:22" ht="98.25">
      <c r="A118" s="5" t="s">
        <v>166</v>
      </c>
      <c r="B118" s="5" t="s">
        <v>176</v>
      </c>
      <c r="C118" s="13" t="s">
        <v>419</v>
      </c>
      <c r="D118" s="6">
        <v>37100000</v>
      </c>
      <c r="E118" s="5" t="s">
        <v>418</v>
      </c>
      <c r="F118" s="11" t="s">
        <v>87</v>
      </c>
      <c r="G118" s="7">
        <v>100</v>
      </c>
      <c r="H118" s="11" t="s">
        <v>98</v>
      </c>
      <c r="I118" s="7">
        <v>50</v>
      </c>
      <c r="J118" s="5"/>
      <c r="K118" s="7">
        <v>50</v>
      </c>
      <c r="L118" s="5" t="s">
        <v>32</v>
      </c>
      <c r="M118" s="5" t="str">
        <f>A118&amp;"|"&amp;L118</f>
        <v>N3|En seguimiento</v>
      </c>
      <c r="N118" s="5" t="s">
        <v>68</v>
      </c>
      <c r="O118" s="5" t="str">
        <f t="shared" si="1"/>
        <v>Diana Andrea Rodiguez</v>
      </c>
      <c r="P118" s="5" t="s">
        <v>88</v>
      </c>
      <c r="Q118" s="8">
        <v>46282</v>
      </c>
      <c r="R118" s="8">
        <v>46290</v>
      </c>
      <c r="S118" s="12" t="s">
        <v>416</v>
      </c>
      <c r="T118" s="6">
        <v>37100000</v>
      </c>
      <c r="U118" s="5" t="s">
        <v>90</v>
      </c>
      <c r="V118" s="5" t="inlineStr">
        <is>
          <t>Consumo Masivo</t>
        </is>
      </c>
    </row>
    <row r="119" spans="1:22" ht="110.25">
      <c r="A119" s="5" t="s">
        <v>195</v>
      </c>
      <c r="B119" s="5" t="s">
        <v>208</v>
      </c>
      <c r="C119" s="5" t="s">
        <v>420</v>
      </c>
      <c r="D119" s="6">
        <v>67920000</v>
      </c>
      <c r="E119" s="5" t="s">
        <v>421</v>
      </c>
      <c r="F119" s="11" t="s">
        <v>87</v>
      </c>
      <c r="G119" s="7">
        <v>100</v>
      </c>
      <c r="H119" s="11" t="s">
        <v>98</v>
      </c>
      <c r="I119" s="7">
        <v>50</v>
      </c>
      <c r="J119" s="5"/>
      <c r="K119" s="7">
        <v>50</v>
      </c>
      <c r="L119" s="5" t="s">
        <v>32</v>
      </c>
      <c r="M119" s="5" t="str">
        <f>A119&amp;"|"&amp;L119</f>
        <v>N4|En seguimiento</v>
      </c>
      <c r="N119" s="5" t="s">
        <v>33</v>
      </c>
      <c r="O119" s="5" t="str">
        <f t="shared" si="1"/>
        <v>Karen Pérez</v>
      </c>
      <c r="P119" s="5" t="s">
        <v>88</v>
      </c>
      <c r="Q119" s="8">
        <v>46290</v>
      </c>
      <c r="R119" s="8">
        <v>46297</v>
      </c>
      <c r="S119" s="9" t="s">
        <v>422</v>
      </c>
      <c r="T119" s="6">
        <v>67920000</v>
      </c>
      <c r="U119" s="5" t="s">
        <v>81</v>
      </c>
      <c r="V119" s="5" t="inlineStr">
        <is>
          <t>Consumo Masivo</t>
        </is>
      </c>
    </row>
    <row r="120" spans="1:22" ht="98.25">
      <c r="A120" s="5" t="s">
        <v>166</v>
      </c>
      <c r="B120" s="5" t="s">
        <v>186</v>
      </c>
      <c r="C120" s="5" t="s">
        <v>423</v>
      </c>
      <c r="D120" s="6">
        <v>33880000</v>
      </c>
      <c r="E120" s="5" t="s">
        <v>424</v>
      </c>
      <c r="F120" s="11" t="s">
        <v>87</v>
      </c>
      <c r="G120" s="7">
        <v>100</v>
      </c>
      <c r="H120" s="11" t="s">
        <v>98</v>
      </c>
      <c r="I120" s="7">
        <v>50</v>
      </c>
      <c r="J120" s="5"/>
      <c r="K120" s="7">
        <v>50</v>
      </c>
      <c r="L120" s="5" t="s">
        <v>32</v>
      </c>
      <c r="M120" s="5" t="str">
        <f>A120&amp;"|"&amp;L120</f>
        <v>N3|En seguimiento</v>
      </c>
      <c r="N120" s="5" t="s">
        <v>33</v>
      </c>
      <c r="O120" s="5" t="str">
        <f t="shared" si="1"/>
        <v>Laura Sofía Calvera</v>
      </c>
      <c r="P120" s="5" t="s">
        <v>232</v>
      </c>
      <c r="Q120" s="8">
        <v>46293</v>
      </c>
      <c r="R120" s="8">
        <v>46297</v>
      </c>
      <c r="S120" s="12" t="s">
        <v>425</v>
      </c>
      <c r="T120" s="6">
        <v>33880000</v>
      </c>
      <c r="U120" s="5" t="s">
        <v>81</v>
      </c>
      <c r="V120" s="5" t="inlineStr">
        <is>
          <t>Servicios</t>
        </is>
      </c>
    </row>
    <row r="121" spans="1:22" ht="98.25">
      <c r="A121" s="5" t="s">
        <v>166</v>
      </c>
      <c r="B121" s="5" t="s">
        <v>278</v>
      </c>
      <c r="C121" s="5" t="s">
        <v>426</v>
      </c>
      <c r="D121" s="6">
        <v>33610000</v>
      </c>
      <c r="E121" s="5" t="s">
        <v>427</v>
      </c>
      <c r="F121" s="11" t="s">
        <v>87</v>
      </c>
      <c r="G121" s="7">
        <v>100</v>
      </c>
      <c r="H121" s="11" t="s">
        <v>98</v>
      </c>
      <c r="I121" s="7">
        <v>50</v>
      </c>
      <c r="J121" s="5"/>
      <c r="K121" s="7">
        <v>50</v>
      </c>
      <c r="L121" s="5" t="s">
        <v>32</v>
      </c>
      <c r="M121" s="5" t="str">
        <f>A121&amp;"|"&amp;L121</f>
        <v>N3|En seguimiento</v>
      </c>
      <c r="N121" s="5" t="s">
        <v>33</v>
      </c>
      <c r="O121" s="5" t="str">
        <f t="shared" si="1"/>
        <v>Elsa Cortez</v>
      </c>
      <c r="P121" s="5" t="s">
        <v>232</v>
      </c>
      <c r="Q121" s="8">
        <v>46293</v>
      </c>
      <c r="R121" s="8">
        <v>46294</v>
      </c>
      <c r="S121" s="12" t="s">
        <v>428</v>
      </c>
      <c r="T121" s="6">
        <v>33610000</v>
      </c>
      <c r="U121" s="5" t="s">
        <v>81</v>
      </c>
      <c r="V121" s="5" t="inlineStr">
        <is>
          <t>Salud</t>
        </is>
      </c>
    </row>
    <row r="122" spans="1:22" ht="36.75">
      <c r="A122" s="5" t="s">
        <v>40</v>
      </c>
      <c r="B122" s="5" t="s">
        <v>40</v>
      </c>
      <c r="C122" s="5" t="s">
        <v>429</v>
      </c>
      <c r="D122" s="6">
        <v>88415000</v>
      </c>
      <c r="E122" s="5" t="s">
        <v>430</v>
      </c>
      <c r="F122" s="11" t="s">
        <v>29</v>
      </c>
      <c r="G122" s="7">
        <v>100</v>
      </c>
      <c r="H122" s="11" t="s">
        <v>30</v>
      </c>
      <c r="I122" s="7">
        <v>100</v>
      </c>
      <c r="J122" s="5" t="s">
        <v>42</v>
      </c>
      <c r="K122" s="7">
        <v>100</v>
      </c>
      <c r="L122" s="5" t="s">
        <v>32</v>
      </c>
      <c r="M122" s="5" t="str">
        <f>A122&amp;"|"&amp;L122</f>
        <v>PRODUCTOS GENERALES|En seguimiento</v>
      </c>
      <c r="N122" s="5" t="s">
        <v>33</v>
      </c>
      <c r="O122" s="5" t="str">
        <f t="shared" si="1"/>
        <v>PRODUCTOS GENERALES</v>
      </c>
      <c r="P122" s="5" t="s">
        <v>88</v>
      </c>
      <c r="Q122" s="8">
        <v>46266</v>
      </c>
      <c r="R122" s="8">
        <v>46295</v>
      </c>
      <c r="S122" s="12" t="s">
        <v>431</v>
      </c>
      <c r="T122" s="6">
        <v>88415000</v>
      </c>
      <c r="U122" s="5" t="s">
        <v>36</v>
      </c>
      <c r="V122" s="5" t="inlineStr">
        <is>
          <t>Otros</t>
        </is>
      </c>
    </row>
    <row r="123" spans="1:22" ht="98.25">
      <c r="A123" s="15" t="s">
        <v>166</v>
      </c>
      <c r="B123" s="15" t="s">
        <v>314</v>
      </c>
      <c r="C123" s="15" t="s">
        <v>432</v>
      </c>
      <c r="D123" s="27">
        <v>20000000</v>
      </c>
      <c r="E123" s="15" t="s">
        <v>433</v>
      </c>
      <c r="F123" s="20" t="s">
        <v>87</v>
      </c>
      <c r="G123" s="17">
        <v>100</v>
      </c>
      <c r="H123" s="20" t="s">
        <v>98</v>
      </c>
      <c r="I123" s="17">
        <v>50</v>
      </c>
      <c r="J123" s="15"/>
      <c r="K123" s="17">
        <v>50</v>
      </c>
      <c r="L123" s="15" t="s">
        <v>109</v>
      </c>
      <c r="M123" s="15" t="str">
        <f>A123&amp;"|"&amp;L123</f>
        <v>N3|Cerrada</v>
      </c>
      <c r="N123" s="15" t="s">
        <v>33</v>
      </c>
      <c r="O123" s="15" t="str">
        <f t="shared" si="1"/>
        <v>Nicole Hincapié</v>
      </c>
      <c r="P123" s="15" t="s">
        <v>88</v>
      </c>
      <c r="Q123" s="18">
        <v>46290</v>
      </c>
      <c r="R123" s="18">
        <v>46259</v>
      </c>
      <c r="S123" s="21" t="s">
        <v>434</v>
      </c>
      <c r="T123" s="27">
        <v>20000000</v>
      </c>
      <c r="U123" s="15" t="s">
        <v>81</v>
      </c>
      <c r="V123" s="15" t="inlineStr">
        <is>
          <t>Inmobiliario</t>
        </is>
      </c>
    </row>
    <row r="124" spans="1:22" ht="36.75">
      <c r="A124" s="5" t="s">
        <v>40</v>
      </c>
      <c r="B124" s="5" t="s">
        <v>40</v>
      </c>
      <c r="C124" s="5" t="s">
        <v>435</v>
      </c>
      <c r="D124" s="6">
        <v>15000000</v>
      </c>
      <c r="E124" s="5" t="s">
        <v>436</v>
      </c>
      <c r="F124" s="11" t="s">
        <v>29</v>
      </c>
      <c r="G124" s="7">
        <v>100</v>
      </c>
      <c r="H124" s="11" t="s">
        <v>30</v>
      </c>
      <c r="I124" s="7">
        <v>100</v>
      </c>
      <c r="J124" s="5" t="s">
        <v>42</v>
      </c>
      <c r="K124" s="7">
        <v>100</v>
      </c>
      <c r="L124" s="5" t="s">
        <v>32</v>
      </c>
      <c r="M124" s="5" t="str">
        <f>A124&amp;"|"&amp;L124</f>
        <v>PRODUCTOS GENERALES|En seguimiento</v>
      </c>
      <c r="N124" s="5" t="s">
        <v>33</v>
      </c>
      <c r="O124" s="5" t="str">
        <f t="shared" si="1"/>
        <v>PRODUCTOS GENERALES</v>
      </c>
      <c r="P124" s="5" t="s">
        <v>88</v>
      </c>
      <c r="Q124" s="8">
        <v>46266</v>
      </c>
      <c r="R124" s="8">
        <v>46295</v>
      </c>
      <c r="S124" s="12" t="s">
        <v>437</v>
      </c>
      <c r="T124" s="6">
        <v>15000000</v>
      </c>
      <c r="U124" s="5" t="s">
        <v>36</v>
      </c>
      <c r="V124" s="5" t="inlineStr">
        <is>
          <t>Otros</t>
        </is>
      </c>
    </row>
    <row r="125" spans="1:22" ht="98.25">
      <c r="A125" s="5" t="s">
        <v>195</v>
      </c>
      <c r="B125" s="5" t="s">
        <v>196</v>
      </c>
      <c r="C125" s="5" t="s">
        <v>438</v>
      </c>
      <c r="D125" s="6">
        <v>20000000</v>
      </c>
      <c r="E125" s="5" t="s">
        <v>439</v>
      </c>
      <c r="F125" s="11" t="s">
        <v>87</v>
      </c>
      <c r="G125" s="7">
        <v>100</v>
      </c>
      <c r="H125" s="11" t="s">
        <v>98</v>
      </c>
      <c r="I125" s="7">
        <v>50</v>
      </c>
      <c r="J125" s="5"/>
      <c r="K125" s="7">
        <v>50</v>
      </c>
      <c r="L125" s="5" t="s">
        <v>32</v>
      </c>
      <c r="M125" s="5" t="str">
        <f>A125&amp;"|"&amp;L125</f>
        <v>N4|En seguimiento</v>
      </c>
      <c r="N125" s="5" t="s">
        <v>33</v>
      </c>
      <c r="O125" s="5" t="str">
        <f t="shared" si="1"/>
        <v>Luis López</v>
      </c>
      <c r="P125" s="5" t="s">
        <v>232</v>
      </c>
      <c r="Q125" s="8">
        <v>46310</v>
      </c>
      <c r="R125" s="8">
        <v>46310</v>
      </c>
      <c r="S125" s="12" t="s">
        <v>440</v>
      </c>
      <c r="T125" s="6">
        <v>25000000</v>
      </c>
      <c r="U125" s="5" t="s">
        <v>81</v>
      </c>
      <c r="V125" s="5" t="inlineStr">
        <is>
          <t>Viajes</t>
        </is>
      </c>
    </row>
    <row r="126" spans="1:22" ht="98.25">
      <c r="A126" s="5" t="s">
        <v>71</v>
      </c>
      <c r="B126" s="11" t="s">
        <v>84</v>
      </c>
      <c r="C126" s="13" t="s">
        <v>441</v>
      </c>
      <c r="D126" s="6"/>
      <c r="E126" s="5" t="s">
        <v>442</v>
      </c>
      <c r="F126" s="11" t="s">
        <v>87</v>
      </c>
      <c r="G126" s="7">
        <v>100</v>
      </c>
      <c r="H126" s="11" t="s">
        <v>98</v>
      </c>
      <c r="I126" s="7">
        <v>100</v>
      </c>
      <c r="J126" s="5" t="s">
        <v>42</v>
      </c>
      <c r="K126" s="7">
        <v>50</v>
      </c>
      <c r="L126" s="5" t="s">
        <v>32</v>
      </c>
      <c r="M126" s="5" t="str">
        <f>A126&amp;"|"&amp;L126</f>
        <v>N1|En seguimiento</v>
      </c>
      <c r="N126" s="5" t="s">
        <v>68</v>
      </c>
      <c r="O126" s="5" t="str">
        <f t="shared" si="1"/>
        <v>Felipe Guillen</v>
      </c>
      <c r="P126" s="5"/>
      <c r="Q126" s="8">
        <v>46303</v>
      </c>
      <c r="R126" s="8">
        <v>46303</v>
      </c>
      <c r="S126" s="9" t="s">
        <v>443</v>
      </c>
      <c r="T126" s="6">
        <v>50000000</v>
      </c>
      <c r="U126" s="5" t="s">
        <v>90</v>
      </c>
      <c r="V126" s="5" t="inlineStr">
        <is>
          <t>Educación</t>
        </is>
      </c>
    </row>
    <row r="127" spans="1:22" ht="110.25">
      <c r="A127" s="5" t="s">
        <v>195</v>
      </c>
      <c r="B127" s="5" t="s">
        <v>196</v>
      </c>
      <c r="C127" s="5" t="s">
        <v>444</v>
      </c>
      <c r="D127" s="6">
        <v>14610000</v>
      </c>
      <c r="E127" s="5" t="s">
        <v>445</v>
      </c>
      <c r="F127" s="11" t="s">
        <v>87</v>
      </c>
      <c r="G127" s="7">
        <v>100</v>
      </c>
      <c r="H127" s="11" t="s">
        <v>98</v>
      </c>
      <c r="I127" s="7">
        <v>50</v>
      </c>
      <c r="J127" s="5"/>
      <c r="K127" s="7">
        <v>50</v>
      </c>
      <c r="L127" s="5" t="s">
        <v>32</v>
      </c>
      <c r="M127" s="5" t="str">
        <f>A127&amp;"|"&amp;L127</f>
        <v>N4|En seguimiento</v>
      </c>
      <c r="N127" s="5" t="s">
        <v>33</v>
      </c>
      <c r="O127" s="5" t="str">
        <f t="shared" si="1"/>
        <v>Luis López</v>
      </c>
      <c r="P127" s="5" t="s">
        <v>232</v>
      </c>
      <c r="Q127" s="8">
        <v>46310</v>
      </c>
      <c r="R127" s="8">
        <v>46310</v>
      </c>
      <c r="S127" s="9" t="s">
        <v>446</v>
      </c>
      <c r="T127" s="6">
        <v>14610000</v>
      </c>
      <c r="U127" s="5" t="s">
        <v>90</v>
      </c>
      <c r="V127" s="5" t="inlineStr">
        <is>
          <t>Salud</t>
        </is>
      </c>
    </row>
    <row r="128" spans="1:22" ht="98.25">
      <c r="A128" s="5" t="s">
        <v>195</v>
      </c>
      <c r="B128" s="5" t="s">
        <v>196</v>
      </c>
      <c r="C128" s="5" t="s">
        <v>447</v>
      </c>
      <c r="D128" s="6">
        <v>50000000</v>
      </c>
      <c r="E128" s="5" t="s">
        <v>448</v>
      </c>
      <c r="F128" s="11" t="s">
        <v>87</v>
      </c>
      <c r="G128" s="7">
        <v>100</v>
      </c>
      <c r="H128" s="11" t="s">
        <v>98</v>
      </c>
      <c r="I128" s="7">
        <v>50</v>
      </c>
      <c r="J128" s="5"/>
      <c r="K128" s="7">
        <v>50</v>
      </c>
      <c r="L128" s="5" t="s">
        <v>32</v>
      </c>
      <c r="M128" s="5" t="str">
        <f>A128&amp;"|"&amp;L128</f>
        <v>N4|En seguimiento</v>
      </c>
      <c r="N128" s="5" t="s">
        <v>33</v>
      </c>
      <c r="O128" s="5" t="str">
        <f t="shared" si="1"/>
        <v>Luis López</v>
      </c>
      <c r="P128" s="5" t="s">
        <v>232</v>
      </c>
      <c r="Q128" s="8">
        <v>46310</v>
      </c>
      <c r="R128" s="8">
        <v>46310</v>
      </c>
      <c r="S128" s="12" t="s">
        <v>449</v>
      </c>
      <c r="T128" s="6">
        <v>55000000</v>
      </c>
      <c r="U128" s="5" t="s">
        <v>81</v>
      </c>
      <c r="V128" s="5" t="inlineStr">
        <is>
          <t>Entretenimiento</t>
        </is>
      </c>
    </row>
    <row r="129" spans="1:22" ht="98.25">
      <c r="A129" s="5" t="s">
        <v>195</v>
      </c>
      <c r="B129" s="5" t="s">
        <v>196</v>
      </c>
      <c r="C129" s="5" t="s">
        <v>294</v>
      </c>
      <c r="D129" s="6">
        <v>50000000</v>
      </c>
      <c r="E129" s="5" t="s">
        <v>445</v>
      </c>
      <c r="F129" s="11" t="s">
        <v>87</v>
      </c>
      <c r="G129" s="7">
        <v>100</v>
      </c>
      <c r="H129" s="11" t="s">
        <v>98</v>
      </c>
      <c r="I129" s="7">
        <v>50</v>
      </c>
      <c r="J129" s="5"/>
      <c r="K129" s="7">
        <v>50</v>
      </c>
      <c r="L129" s="5" t="s">
        <v>32</v>
      </c>
      <c r="M129" s="5" t="str">
        <f>A129&amp;"|"&amp;L129</f>
        <v>N4|En seguimiento</v>
      </c>
      <c r="N129" s="5" t="s">
        <v>33</v>
      </c>
      <c r="O129" s="5" t="str">
        <f t="shared" si="1"/>
        <v>Luis López</v>
      </c>
      <c r="P129" s="5" t="s">
        <v>232</v>
      </c>
      <c r="Q129" s="8">
        <v>46310</v>
      </c>
      <c r="R129" s="8">
        <v>46310</v>
      </c>
      <c r="S129" s="12" t="s">
        <v>450</v>
      </c>
      <c r="T129" s="6">
        <v>55000000</v>
      </c>
      <c r="U129" s="5" t="s">
        <v>81</v>
      </c>
      <c r="V129" s="5" t="inlineStr">
        <is>
          <t>Salud</t>
        </is>
      </c>
    </row>
    <row r="130" spans="1:22" ht="98.25">
      <c r="A130" s="5" t="s">
        <v>221</v>
      </c>
      <c r="B130" s="5" t="s">
        <v>222</v>
      </c>
      <c r="C130" s="5" t="s">
        <v>372</v>
      </c>
      <c r="D130" s="6">
        <v>60000000</v>
      </c>
      <c r="E130" s="5" t="s">
        <v>451</v>
      </c>
      <c r="F130" s="11" t="s">
        <v>87</v>
      </c>
      <c r="G130" s="7">
        <v>100</v>
      </c>
      <c r="H130" s="11" t="s">
        <v>98</v>
      </c>
      <c r="I130" s="7">
        <v>50</v>
      </c>
      <c r="J130" s="5"/>
      <c r="K130" s="7">
        <v>50</v>
      </c>
      <c r="L130" s="5" t="s">
        <v>32</v>
      </c>
      <c r="M130" s="5" t="str">
        <f>A130&amp;"|"&amp;L130</f>
        <v>N5|En seguimiento</v>
      </c>
      <c r="N130" s="5" t="s">
        <v>33</v>
      </c>
      <c r="O130" s="5" t="str">
        <f t="shared" si="1"/>
        <v>Luz Karime Hernandez</v>
      </c>
      <c r="P130" s="5" t="s">
        <v>232</v>
      </c>
      <c r="Q130" s="8">
        <v>46296</v>
      </c>
      <c r="R130" s="8">
        <v>46296</v>
      </c>
      <c r="S130" s="12" t="s">
        <v>452</v>
      </c>
      <c r="T130" s="14">
        <v>100000000</v>
      </c>
      <c r="U130" s="5" t="s">
        <v>81</v>
      </c>
      <c r="V130" s="5" t="inlineStr">
        <is>
          <t>Automotriz</t>
        </is>
      </c>
    </row>
    <row r="131" spans="1:22" ht="98.25">
      <c r="A131" s="5" t="s">
        <v>71</v>
      </c>
      <c r="B131" s="5" t="s">
        <v>72</v>
      </c>
      <c r="C131" s="5" t="s">
        <v>297</v>
      </c>
      <c r="D131" s="6">
        <v>12000000</v>
      </c>
      <c r="E131" s="5" t="s">
        <v>453</v>
      </c>
      <c r="F131" s="11" t="s">
        <v>87</v>
      </c>
      <c r="G131" s="7">
        <v>100</v>
      </c>
      <c r="H131" s="11" t="s">
        <v>98</v>
      </c>
      <c r="I131" s="7">
        <v>50</v>
      </c>
      <c r="J131" s="5"/>
      <c r="K131" s="7">
        <v>50</v>
      </c>
      <c r="L131" s="5" t="s">
        <v>32</v>
      </c>
      <c r="M131" s="5" t="str">
        <f>A131&amp;"|"&amp;L131</f>
        <v>N1|En seguimiento</v>
      </c>
      <c r="N131" s="5" t="s">
        <v>33</v>
      </c>
      <c r="O131" s="5" t="str">
        <f t="shared" ref="O131:O133" si="2">B131</f>
        <v>Andrea Morales</v>
      </c>
      <c r="P131" s="5" t="s">
        <v>232</v>
      </c>
      <c r="Q131" s="8">
        <v>46309</v>
      </c>
      <c r="R131" s="8">
        <v>46309</v>
      </c>
      <c r="S131" s="12" t="s">
        <v>454</v>
      </c>
      <c r="T131" s="14">
        <v>12000000</v>
      </c>
      <c r="U131" s="5" t="s">
        <v>81</v>
      </c>
      <c r="V131" s="5" t="inlineStr">
        <is>
          <t>Automotriz</t>
        </is>
      </c>
    </row>
    <row r="132" spans="1:22" ht="98.25">
      <c r="A132" s="5" t="s">
        <v>166</v>
      </c>
      <c r="B132" s="11" t="s">
        <v>278</v>
      </c>
      <c r="C132" s="13" t="s">
        <v>455</v>
      </c>
      <c r="D132" s="26">
        <v>15000000</v>
      </c>
      <c r="E132" s="13" t="s">
        <v>456</v>
      </c>
      <c r="F132" s="11" t="s">
        <v>87</v>
      </c>
      <c r="G132" s="7">
        <v>100</v>
      </c>
      <c r="H132" s="11" t="s">
        <v>98</v>
      </c>
      <c r="I132" s="7">
        <v>50</v>
      </c>
      <c r="J132" s="5"/>
      <c r="K132" s="7">
        <v>50</v>
      </c>
      <c r="L132" s="5" t="s">
        <v>32</v>
      </c>
      <c r="M132" s="5" t="str">
        <f>A132&amp;"|"&amp;L132</f>
        <v>N3|En seguimiento</v>
      </c>
      <c r="N132" s="5" t="s">
        <v>68</v>
      </c>
      <c r="O132" s="5" t="str">
        <f t="shared" si="2"/>
        <v>Elsa Cortez</v>
      </c>
      <c r="P132" s="5" t="s">
        <v>232</v>
      </c>
      <c r="Q132" s="8">
        <v>46309</v>
      </c>
      <c r="R132" s="8">
        <v>46309</v>
      </c>
      <c r="S132" s="12" t="s">
        <v>457</v>
      </c>
      <c r="T132" s="6">
        <v>30000000</v>
      </c>
      <c r="U132" s="5" t="s">
        <v>81</v>
      </c>
      <c r="V132" s="5" t="inlineStr">
        <is>
          <t>Otros</t>
        </is>
      </c>
    </row>
    <row r="133" spans="1:22" ht="98.25">
      <c r="A133" s="5" t="s">
        <v>71</v>
      </c>
      <c r="B133" s="5" t="s">
        <v>72</v>
      </c>
      <c r="C133" s="5" t="s">
        <v>458</v>
      </c>
      <c r="D133" s="6">
        <v>20000000</v>
      </c>
      <c r="E133" s="5" t="s">
        <v>459</v>
      </c>
      <c r="F133" s="11" t="s">
        <v>87</v>
      </c>
      <c r="G133" s="7">
        <v>100</v>
      </c>
      <c r="H133" s="11" t="s">
        <v>98</v>
      </c>
      <c r="I133" s="7">
        <v>50</v>
      </c>
      <c r="J133" s="5"/>
      <c r="K133" s="7">
        <v>50</v>
      </c>
      <c r="L133" s="5" t="s">
        <v>32</v>
      </c>
      <c r="M133" s="5" t="str">
        <f>A133&amp;"|"&amp;L133</f>
        <v>N1|En seguimiento</v>
      </c>
      <c r="N133" s="5" t="s">
        <v>33</v>
      </c>
      <c r="O133" s="5" t="str">
        <f t="shared" si="2"/>
        <v>Andrea Morales</v>
      </c>
      <c r="P133" s="5" t="s">
        <v>232</v>
      </c>
      <c r="Q133" s="8">
        <v>46309</v>
      </c>
      <c r="R133" s="8">
        <v>46309</v>
      </c>
      <c r="S133" s="12" t="s">
        <v>460</v>
      </c>
      <c r="T133" s="14">
        <v>25000000</v>
      </c>
      <c r="U133" s="5" t="s">
        <v>81</v>
      </c>
      <c r="V133" s="5" t="inlineStr">
        <is>
          <t>Seguros</t>
        </is>
      </c>
    </row>
  </sheetData>
  <protectedRanges>
    <protectedRange sqref="L2:L21" name="Rango1_2"/>
    <protectedRange sqref="N2:N15" name="Rango2_2"/>
    <protectedRange sqref="N16:N17" name="Rango2_3"/>
    <protectedRange sqref="N18" name="Rango2_5"/>
    <protectedRange sqref="N19" name="Rango2_6"/>
    <protectedRange sqref="N20:N21" name="Rango2_7"/>
    <protectedRange sqref="L22:L31" name="Rango1_8"/>
    <protectedRange sqref="N22:N29" name="Rango2_8"/>
    <protectedRange sqref="N30:N31" name="Rango2_9"/>
    <protectedRange sqref="L32:L35" name="Rango1_10"/>
    <protectedRange sqref="N32:N35" name="Rango2_10"/>
    <protectedRange sqref="L36" name="Rango1_11"/>
    <protectedRange sqref="N36" name="Rango2_11"/>
    <protectedRange sqref="L37:L38" name="Rango1_12"/>
    <protectedRange sqref="N37" name="Rango2_12"/>
    <protectedRange sqref="L39:L42" name="Rango1_13"/>
    <protectedRange sqref="N38:N42" name="Rango2_13"/>
    <protectedRange sqref="L43" name="Rango1_14"/>
    <protectedRange sqref="N43" name="Rango2_14"/>
    <protectedRange sqref="L44" name="Rango1_15"/>
    <protectedRange sqref="N44" name="Rango2_15"/>
    <protectedRange sqref="L45" name="Rango1_16"/>
    <protectedRange sqref="N45" name="Rango2_16"/>
    <protectedRange sqref="L46:L53" name="Rango1_17"/>
    <protectedRange sqref="N46:N50" name="Rango2_17"/>
    <protectedRange sqref="N51:N52" name="Rango2_18"/>
    <protectedRange sqref="N53" name="Rango2_19"/>
    <protectedRange sqref="L54:L56" name="Rango1_20"/>
    <protectedRange sqref="N54:N56" name="Rango2_20"/>
    <protectedRange sqref="L57" name="Rango1_21"/>
    <protectedRange sqref="N57" name="Rango2_21"/>
    <protectedRange sqref="L58" name="Rango1_22"/>
    <protectedRange sqref="N58" name="Rango2_22"/>
    <protectedRange sqref="L59:L133" name="Rango1_23"/>
    <protectedRange sqref="N59:N133" name="Rango2_23"/>
  </protectedRanges>
  <autoFilter ref="A1:V133" xr:uid="{4A47D003-436E-405E-A6ED-DEDD736FB953}"/>
  <dataValidations count="3">
    <dataValidation allowBlank="1" showInputMessage="1" showErrorMessage="1" sqref="J2:J7 S4:S7 H2:H8 H10:H12 S12 H14:H18 T2:T15 J10:J28 S14:S15 S10 M2:M133 P20:R21 Q2:R15 Q16:T17 T18:T19 Q18:R19 K59:K121 H27:H28 T22:T30 K23:K29 I127:I133 Q22:R35 H30:H31 S31:T31 J30:K31 H34 K33:K35 T33:T35 J32:J35 J36:K37 H36:H53 Q36:T37 T39:T43 K40 K42 K38 J38:J42 Q38:S42 Q43:R45 J44:K45 J46:J50 Q46:T50 K48:K50 J51:K53 F51:F53 Q51:R73 D53 T53:T64 J54:J55 K54 K56 H57:H58 J57 F58 D58 J58:K58 F61 H61 T132 K127:K133 S64 H124 I68:I121 Q132:R132 O90:P90 S127 P62:P73 Q124:R129 Q90:R94 Q103:S103 T104:T109 S104:S107 S109 T112 F110:F112 S119 Q104:R122 H122 I123 K123 I125 J59:J133 K125 O2:O89 O91:O133" xr:uid="{309D5E15-93F1-4BC0-BB65-1DF3C1849257}"/>
    <dataValidation type="whole" operator="greaterThanOrEqual" allowBlank="1" showInputMessage="1" showErrorMessage="1" errorTitle="Tipo de dato númerico" error="Por favor ingresa un número entero en la escala del 1 al 100 para medir el avance." prompt="Por favor ingresa un número entero en la escala del 1 al 100 para medir el avance." sqref="I2:I67 K2:K22 G2:G133 K32 K39 K41 K43 K46:K47 K55 K57 K126 I126 I124 K122 I122 K124" xr:uid="{0999536D-6270-4F7D-ADE8-8BEE9B3FFF34}">
      <formula1>0</formula1>
    </dataValidation>
    <dataValidation type="list" allowBlank="1" showInputMessage="1" showErrorMessage="1" sqref="A2:A20 N2:N20 A22:A31 N22:N35 N37:N57 N124 A126 A124 A122 N126 N132 N122 N115:N118 N104:N112" xr:uid="{15FB674D-C667-4768-8B8D-CE1FF27C2B75}">
      <formula1>#REF!</formula1>
    </dataValidation>
  </dataValidations>
  <hyperlinks>
    <hyperlink ref="S15" r:id="rId1" xr:uid="{FC40C788-B6D0-4227-B424-FC78EF37A845}"/>
    <hyperlink ref="S2" r:id="rId2" xr:uid="{4D0F6C0F-D388-4A93-BDFB-A9015ADAF46A}"/>
    <hyperlink ref="S3" r:id="rId3" xr:uid="{BD662487-29F0-4B8F-A38C-269C4AE9546A}"/>
    <hyperlink ref="S7" r:id="rId4" xr:uid="{0294B78B-18C5-442F-9D7A-D27FE90F35E6}"/>
    <hyperlink ref="S5" r:id="rId5" xr:uid="{D4E22946-FD9B-4996-83D9-2985A17CECD1}"/>
    <hyperlink ref="S4" r:id="rId6" xr:uid="{25145CB8-6480-4DF5-987D-D8ABC4E391AF}"/>
    <hyperlink ref="S6" r:id="rId7" xr:uid="{823C0E75-6B5F-43A0-AE47-03BC3EE38B91}"/>
    <hyperlink ref="S8" r:id="rId8" xr:uid="{E82C7C2A-5572-4844-964F-6635A5FB4438}"/>
    <hyperlink ref="S9" r:id="rId9" xr:uid="{298FC2FF-4CDA-40D0-98C2-0D617D6FA1FB}"/>
    <hyperlink ref="S10" r:id="rId10" xr:uid="{66ED5F88-5257-45C7-B8BA-6A9D2F844C24}"/>
    <hyperlink ref="S12" r:id="rId11" xr:uid="{5C46C772-F64E-4EC8-B123-FDDB5884C893}"/>
    <hyperlink ref="S14" r:id="rId12" xr:uid="{EA9020F1-C9AA-467F-842E-7037BE92CA7C}"/>
    <hyperlink ref="S13" r:id="rId13" xr:uid="{42864B25-5048-44B0-AEA9-CE33F93E0DD6}"/>
    <hyperlink ref="S11" r:id="rId14" xr:uid="{1E32ADBA-F3F5-4895-A365-36C0169D7B8D}"/>
    <hyperlink ref="S16" r:id="rId15" xr:uid="{EA8B1FE3-F4D5-4870-92D1-210A1C144EE7}"/>
    <hyperlink ref="S17" r:id="rId16" xr:uid="{9E6A5156-3406-4E48-B5CA-0A60A6EFE9FD}"/>
    <hyperlink ref="S18" r:id="rId17" xr:uid="{5F4F3970-DAC4-4B05-BA5A-C9D676D8CDDF}"/>
    <hyperlink ref="S19" r:id="rId18" xr:uid="{7FFBA280-0319-49C5-A01B-659E0965BD96}"/>
    <hyperlink ref="S20" r:id="rId19" xr:uid="{E3073548-94AB-435A-BF3A-3C13BDE546D6}"/>
    <hyperlink ref="S21" r:id="rId20" xr:uid="{3078473F-A88F-4FE5-BC66-68F144319EA8}"/>
    <hyperlink ref="S28" r:id="rId21" xr:uid="{47436D0A-3C35-48A3-985B-1AD320F2DC44}"/>
    <hyperlink ref="S29" r:id="rId22" xr:uid="{9F269361-37CE-40AD-9EC0-AB50EDC0ADAB}"/>
    <hyperlink ref="S23" r:id="rId23" xr:uid="{4FBCF8D5-B468-471C-B110-2AD9D40097D6}"/>
    <hyperlink ref="S24" r:id="rId24" xr:uid="{5838AAD9-67D9-47BC-9F30-79D5AF84D5B6}"/>
    <hyperlink ref="S25" r:id="rId25" xr:uid="{7967D856-788C-4716-8DCE-57291C92F6B5}"/>
    <hyperlink ref="S26" r:id="rId26" xr:uid="{70A38BEB-4FEB-4359-A6AC-C4CCA26F8B38}"/>
    <hyperlink ref="S27" r:id="rId27" xr:uid="{FC511ED2-48B1-4C30-9706-B52CD79D1E04}"/>
    <hyperlink ref="S22" r:id="rId28" xr:uid="{E8D7A795-68EC-4F4B-A88B-57F81B091396}"/>
    <hyperlink ref="S30" r:id="rId29" xr:uid="{F6686531-3A66-43AF-9E83-FCC4D51C51D4}"/>
    <hyperlink ref="S31" r:id="rId30" xr:uid="{B640CB9E-9E72-4A1C-AC68-C68AE7CE918E}"/>
    <hyperlink ref="S34" r:id="rId31" xr:uid="{1E0DE0BE-8285-4C67-9678-985C80B2724A}"/>
    <hyperlink ref="S35" r:id="rId32" xr:uid="{8B33733C-32CB-4381-A9BD-1A918BA54AE3}"/>
    <hyperlink ref="S32" r:id="rId33" xr:uid="{06F4C339-07CA-471E-8462-4A7B11D0CF99}"/>
    <hyperlink ref="S33" r:id="rId34" xr:uid="{613A8DB1-FDED-4A59-9083-B37C1F17F841}"/>
    <hyperlink ref="S36" r:id="rId35" xr:uid="{685DE605-F02D-4E57-9807-702CDE980546}"/>
    <hyperlink ref="S37" r:id="rId36" xr:uid="{68C9A7C9-3AAA-408D-8272-179BABC5E3A2}"/>
    <hyperlink ref="S40" r:id="rId37" xr:uid="{56CF5B45-6CD8-4E4F-A81B-82005BE8B81F}"/>
    <hyperlink ref="S39" r:id="rId38" xr:uid="{B4E7BE04-7A7D-431E-A92A-4C5845B44B3C}"/>
    <hyperlink ref="S42" r:id="rId39" xr:uid="{88FE5772-D7EA-4752-87D7-C99A94739CC4}"/>
    <hyperlink ref="S41" r:id="rId40" xr:uid="{809C37CF-441C-46EE-8676-F41CB59DADA1}"/>
    <hyperlink ref="S38" r:id="rId41" xr:uid="{8662E7DE-03E0-4A44-80CE-7C4F1FC5CF59}"/>
    <hyperlink ref="S43" r:id="rId42" xr:uid="{CCBBEA8A-FBE7-4D56-86F4-7D4B002294CD}"/>
    <hyperlink ref="S44" r:id="rId43" xr:uid="{FA1EE27F-AC01-45D7-854C-148D32876EE5}"/>
    <hyperlink ref="S45" r:id="rId44" xr:uid="{66C6D039-E7AF-41CC-86AB-F8FB8DDD51B8}"/>
    <hyperlink ref="S46" r:id="rId45" xr:uid="{2917E0D3-9BA2-4848-95FA-CC03F83C3A2C}"/>
    <hyperlink ref="S50" r:id="rId46" xr:uid="{5D67C4D3-35D1-444C-9DDE-70E6A6133566}"/>
    <hyperlink ref="S47" r:id="rId47" xr:uid="{3C2BEE56-6CEB-477D-9235-72ADF1B0FCDC}"/>
    <hyperlink ref="S48" r:id="rId48" xr:uid="{D0045B6F-7DDC-4603-AE6E-07E55DBC4C65}"/>
    <hyperlink ref="S49" r:id="rId49" xr:uid="{F538B07C-7D7B-4DFC-A895-02F01FFE4BC0}"/>
    <hyperlink ref="S51" r:id="rId50" xr:uid="{990CE6D6-479E-4296-BA3C-C09972647DAF}"/>
    <hyperlink ref="S52" r:id="rId51" xr:uid="{B7366F1D-EBBF-43E4-B4DC-DA68BDAA3375}"/>
    <hyperlink ref="S53" r:id="rId52" xr:uid="{40094A71-A358-413E-8D0A-DCFC6C2D4E51}"/>
    <hyperlink ref="S54" r:id="rId53" xr:uid="{1A23ECED-579D-44FB-8BFB-CCA227C61CE0}"/>
    <hyperlink ref="S56" r:id="rId54" xr:uid="{9E219010-77C0-4F48-88FE-723FF94DE2F7}"/>
    <hyperlink ref="S55" r:id="rId55" xr:uid="{7E2DDDB1-662D-43D9-A18D-198B36C68E22}"/>
    <hyperlink ref="S57" r:id="rId56" xr:uid="{A6463ED5-2A34-4EAB-AF72-91253BC742B2}"/>
    <hyperlink ref="S58" r:id="rId57" xr:uid="{8D6D78CA-BD02-415C-9640-E4D1969915EF}"/>
    <hyperlink ref="S59" r:id="rId58" xr:uid="{ACED7598-8F42-4EC3-A8BE-0B6F320B648A}"/>
    <hyperlink ref="S60" r:id="rId59" xr:uid="{35A2D748-A3C8-41F6-B094-6507472267C1}"/>
    <hyperlink ref="S61" r:id="rId60" xr:uid="{7A293E50-F9D0-4C29-8A45-7806EFB8BFF4}"/>
    <hyperlink ref="S64" r:id="rId61" display="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" xr:uid="{D1418136-C1C3-4D87-99D4-50AF33DE3A3C}"/>
    <hyperlink ref="S62" r:id="rId62" xr:uid="{F7A5920E-E6CD-49FC-B3BE-B3C1FFFD7C91}"/>
    <hyperlink ref="S65" r:id="rId63" xr:uid="{A150D0BA-0E9C-4B9C-99E3-A9542283756E}"/>
    <hyperlink ref="S74" r:id="rId64" xr:uid="{C1066764-FB9C-4A55-928E-32234C8BEF34}"/>
    <hyperlink ref="S75" r:id="rId65" xr:uid="{F210B707-A7EB-4011-B39F-CB8347D896DC}"/>
    <hyperlink ref="S79" r:id="rId66" xr:uid="{B960C5C3-030B-4C88-9DAE-33DC914E0B0C}"/>
    <hyperlink ref="S76" r:id="rId67" xr:uid="{74C94773-236E-47D1-A2C1-6109429028D2}"/>
    <hyperlink ref="S77" r:id="rId68" xr:uid="{12F838CD-CDF9-4DBD-99CB-DEDF4373C47A}"/>
    <hyperlink ref="S78" r:id="rId69" xr:uid="{925D80BE-8644-40B0-8331-44CED9C158E1}"/>
    <hyperlink ref="S80" r:id="rId70" xr:uid="{0CAFF9B3-FB5E-4EFF-83D8-8B2D192EF17C}"/>
    <hyperlink ref="S95" r:id="rId71" xr:uid="{B64078F7-FE8F-4658-8766-4B10074A7956}"/>
    <hyperlink ref="S96" r:id="rId72" xr:uid="{B318FADB-2D85-4B8E-9C7E-F1C413DB2AAE}"/>
    <hyperlink ref="S97" r:id="rId73" xr:uid="{63F36E54-F3FA-4797-B7FB-51AB9D32A5C7}"/>
    <hyperlink ref="S98" r:id="rId74" xr:uid="{0F63A49E-893D-47D8-9286-02F686F98114}"/>
    <hyperlink ref="S99" r:id="rId75" xr:uid="{B897D739-4854-42C7-8370-EA92AF8FFA46}"/>
    <hyperlink ref="S100" r:id="rId76" xr:uid="{53E48D61-5226-4654-8562-D7A67BB0AF4F}"/>
    <hyperlink ref="S101" r:id="rId77" xr:uid="{0AC28302-1922-4C89-BBF5-A0C811709355}"/>
    <hyperlink ref="S93" r:id="rId78" xr:uid="{648D8C52-02C8-43C7-BDEB-73159FDF4FB9}"/>
    <hyperlink ref="S90" r:id="rId79" xr:uid="{A3DC6AC5-87C1-46B1-A627-93292C4C3726}"/>
    <hyperlink ref="S86" r:id="rId80" xr:uid="{AA37E9B3-A435-43F3-ABDA-DC0E6E13400F}"/>
    <hyperlink ref="S85" r:id="rId81" xr:uid="{789EA8C6-05EB-40E6-BBB9-12F0D4E90BAA}"/>
    <hyperlink ref="S72" r:id="rId82" xr:uid="{52D2B231-E31E-4069-8A28-D2918C640512}"/>
    <hyperlink ref="S71" r:id="rId83" xr:uid="{2FB86248-ACD8-41DE-B6CD-998340E20585}"/>
    <hyperlink ref="S69" r:id="rId84" xr:uid="{B0BD85A0-6F86-4A0C-80E4-9BD42EAA9C17}"/>
    <hyperlink ref="S70" r:id="rId85" xr:uid="{57EB3013-1354-44C3-A213-DF155514F292}"/>
    <hyperlink ref="S66" r:id="rId86" xr:uid="{EEFA86AB-9B4F-4DC0-912F-52FF3863A37F}"/>
    <hyperlink ref="S102" r:id="rId87" xr:uid="{6EF16E91-F7BB-4FCC-974F-1ACD5EBDF318}"/>
    <hyperlink ref="S103" r:id="rId88" xr:uid="{1888866C-EB71-49AF-9B31-964F315D3B95}"/>
    <hyperlink ref="S104" r:id="rId89" xr:uid="{E8C471F7-60B0-4885-BEB6-F9DE7B8D244D}"/>
    <hyperlink ref="S106" r:id="rId90" xr:uid="{C5547581-2765-4ACD-BC92-60CF8BC0004B}"/>
    <hyperlink ref="S107" r:id="rId91" xr:uid="{CB5085BC-68FF-4705-97AF-B56668D21E65}"/>
    <hyperlink ref="S105" r:id="rId92" xr:uid="{8AE5E717-00B0-4F5E-B524-4CE2E2D054F2}"/>
    <hyperlink ref="S108" r:id="rId93" xr:uid="{CFF80FCA-2657-48CA-AF81-8AC6A1B7F01B}"/>
    <hyperlink ref="S109" r:id="rId94" xr:uid="{62968AE8-AC15-4A4B-9A67-042F839245D6}"/>
    <hyperlink ref="S110" r:id="rId95" xr:uid="{FC8CDB90-7047-491A-9AC9-2A18D0138097}"/>
    <hyperlink ref="S111" r:id="rId96" xr:uid="{B3887859-A7FD-43C5-AA44-44559F68D06B}"/>
    <hyperlink ref="S112" r:id="rId97" xr:uid="{7B6D736F-2528-4009-B9E5-D92A456058FB}"/>
    <hyperlink ref="S113" r:id="rId98" xr:uid="{F56BE138-C7BF-4343-AAF1-63C44CFDE481}"/>
    <hyperlink ref="S114" r:id="rId99" xr:uid="{D72E38C8-4C91-4E35-8B77-D3C666DC4D44}"/>
    <hyperlink ref="S115" r:id="rId100" xr:uid="{62A95A2E-C7D7-49BC-98FC-57A5CF34A3BE}"/>
    <hyperlink ref="S116" r:id="rId101" xr:uid="{BB0EE441-C1BF-4626-8FE6-32D699D0B21E}"/>
    <hyperlink ref="S117" r:id="rId102" xr:uid="{414DEFF8-7802-4649-8F79-3139C350419A}"/>
    <hyperlink ref="S118" r:id="rId103" xr:uid="{DA520B98-4D58-4177-8E75-EF994F86F9F4}"/>
    <hyperlink ref="S119" r:id="rId104" xr:uid="{F99DC412-ABF5-4CC0-9FED-E2DE23594903}"/>
    <hyperlink ref="S120" r:id="rId105" xr:uid="{0E1425C6-E9F9-46AD-80AA-8B80B8E0B16D}"/>
    <hyperlink ref="S121" r:id="rId106" xr:uid="{3624AE1C-226F-4B33-AFDD-001DE2B927EE}"/>
    <hyperlink ref="S126" r:id="rId107" xr:uid="{03198866-75C6-4BA1-B974-242E41C875FC}"/>
    <hyperlink ref="S127" r:id="rId108" xr:uid="{935426B0-6642-4DD2-A91B-EC6321D01162}"/>
    <hyperlink ref="S128" r:id="rId109" xr:uid="{43DF7BDA-4039-4AD2-B7BB-48ACA87850E5}"/>
    <hyperlink ref="S129" r:id="rId110" xr:uid="{791A0E4B-C69B-4DF5-88CF-DDF19A42D074}"/>
    <hyperlink ref="S130" r:id="rId111" xr:uid="{5D116094-CE5E-4DD6-A159-FE4F49A35D56}"/>
    <hyperlink ref="S131" r:id="rId112" xr:uid="{5F4133DA-8739-4EA0-90CF-96051E5E3C99}"/>
    <hyperlink ref="S132" r:id="rId113" xr:uid="{D56356AF-5FAE-48C1-99A6-6CEAA3EC63EE}"/>
    <hyperlink ref="S133" r:id="rId114" xr:uid="{FFE40C9B-61E4-4D0B-8A56-6CC4489EDCEA}"/>
    <hyperlink ref="S81" r:id="rId115" xr:uid="{C06DFAB9-07E0-4046-9302-20C49BD47668}"/>
    <hyperlink ref="S122" r:id="rId116" xr:uid="{51B866C3-5F37-4A3D-A2FF-475C92C719B5}"/>
    <hyperlink ref="S123" r:id="rId117" xr:uid="{03ABDD6D-A23C-46BC-9D77-7125525B5B92}"/>
    <hyperlink ref="S124" r:id="rId118" xr:uid="{73F692F9-E0F1-48B2-8563-37565F143E0E}"/>
    <hyperlink ref="S125" r:id="rId119" xr:uid="{E9DF68AF-402B-44CC-91BA-6B60F23F7AA6}"/>
    <hyperlink ref="S94" r:id="rId120" xr:uid="{6203FAD3-069B-4225-BBA1-E937AB7EDE6C}"/>
    <hyperlink ref="S92" r:id="rId121" xr:uid="{F43EBC95-E38A-44F6-9FFC-834064E3F2C8}"/>
    <hyperlink ref="S91" r:id="rId122" xr:uid="{7744EFB7-F44C-449F-AAF3-3D9575F1CA74}"/>
    <hyperlink ref="S89" r:id="rId123" xr:uid="{8717E905-682A-4749-90E7-A4EBF359FD48}"/>
    <hyperlink ref="S88" r:id="rId124" xr:uid="{B690B9FC-7519-404A-97C2-3535CE5FE470}"/>
    <hyperlink ref="S87" r:id="rId125" xr:uid="{AC80E214-758C-40AC-B6E2-44B338F3CB57}"/>
    <hyperlink ref="S84" r:id="rId126" xr:uid="{374AAAFE-F2EE-4161-B28B-E1159D904FDC}"/>
    <hyperlink ref="S82" r:id="rId127" xr:uid="{6C17E39C-7283-407B-B009-452A5C6D9169}"/>
    <hyperlink ref="S83" r:id="rId128" xr:uid="{58DDA5A4-9BCD-456A-9490-330F10DA7D52}"/>
    <hyperlink ref="S73" r:id="rId129" xr:uid="{3E00DB01-6634-424F-B2F3-65A55984D83A}"/>
    <hyperlink ref="S68" r:id="rId130" xr:uid="{4335549B-C9D8-471B-B1E6-48F6900D0636}"/>
    <hyperlink ref="S67" r:id="rId131" xr:uid="{8FF6D6FB-F8A5-4BFB-82F7-D38263D9E3A0}"/>
    <hyperlink ref="S63" r:id="rId132" xr:uid="{2399D081-CFFA-4AED-9BD8-6565ED251D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2026-10-26T16:25:03Z</dcterms:created>
  <dcterms:modified xsi:type="dcterms:W3CDTF">2026-10-26T18:01:48Z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cd9466-8d4e-4a56-b721-1076610ba137_Enabled">
    <vt:lpwstr>true</vt:lpwstr>
  </property>
  <property fmtid="{D5CDD505-2E9C-101B-9397-08002B2CF9AE}" pid="3" name="MSIP_Label_93cd9466-8d4e-4a56-b721-1076610ba137_SetDate">
    <vt:lpwstr>2026-10-26T16:25:10Z</vt:lpwstr>
  </property>
  <property fmtid="{D5CDD505-2E9C-101B-9397-08002B2CF9AE}" pid="4" name="MSIP_Label_93cd9466-8d4e-4a56-b721-1076610ba137_Method">
    <vt:lpwstr>Standard</vt:lpwstr>
  </property>
  <property fmtid="{D5CDD505-2E9C-101B-9397-08002B2CF9AE}" pid="5" name="MSIP_Label_93cd9466-8d4e-4a56-b721-1076610ba137_Name">
    <vt:lpwstr>General</vt:lpwstr>
  </property>
  <property fmtid="{D5CDD505-2E9C-101B-9397-08002B2CF9AE}" pid="6" name="MSIP_Label_93cd9466-8d4e-4a56-b721-1076610ba137_SiteId">
    <vt:lpwstr>c4fd49f3-e15a-44d8-82e2-c909735d2e45</vt:lpwstr>
  </property>
  <property fmtid="{D5CDD505-2E9C-101B-9397-08002B2CF9AE}" pid="7" name="MSIP_Label_93cd9466-8d4e-4a56-b721-1076610ba137_ActionId">
    <vt:lpwstr>6be494f2-e3a5-427d-ae3f-49b2d49afe96</vt:lpwstr>
  </property>
  <property fmtid="{D5CDD505-2E9C-101B-9397-08002B2CF9AE}" pid="8" name="MSIP_Label_93cd9466-8d4e-4a56-b721-1076610ba137_ContentBits">
    <vt:lpwstr>0</vt:lpwstr>
  </property>
  <property fmtid="{D5CDD505-2E9C-101B-9397-08002B2CF9AE}" pid="9" name="MSIP_Label_93cd9466-8d4e-4a56-b721-1076610ba137_Tag">
    <vt:lpwstr>10, 3, 0, 2</vt:lpwstr>
  </property>
</Properties>
</file>