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3" activeTab="2" autoFilterDateGrouping="1"/>
  </bookViews>
  <sheets>
    <sheet xmlns:r="http://schemas.openxmlformats.org/officeDocument/2006/relationships" name="Tablero_Comercial" sheetId="1" state="hidden" r:id="rId1"/>
    <sheet xmlns:r="http://schemas.openxmlformats.org/officeDocument/2006/relationships" name="Instrucciones" sheetId="2" state="hidden" r:id="rId2"/>
    <sheet xmlns:r="http://schemas.openxmlformats.org/officeDocument/2006/relationships" name="ESTATUS INNOVACIÓN DIGITAL" sheetId="3" state="visible" r:id="rId3"/>
    <sheet xmlns:r="http://schemas.openxmlformats.org/officeDocument/2006/relationships" name="TABLAS DE DATA" sheetId="4" state="visible" r:id="rId4"/>
  </sheets>
  <definedNames>
    <definedName name="SegmentaciónDeDatos_EQUIPO">#N/A</definedName>
  </definedNames>
  <calcPr calcId="191028" fullCalcOnLoad="1"/>
  <pivotCaches>
    <pivotCache xmlns:r="http://schemas.openxmlformats.org/officeDocument/2006/relationships" cacheId="1463" r:id="rId5"/>
  </pivotCaches>
</workbook>
</file>

<file path=xl/styles.xml><?xml version="1.0" encoding="utf-8"?>
<styleSheet xmlns="http://schemas.openxmlformats.org/spreadsheetml/2006/main">
  <numFmts count="4">
    <numFmt numFmtId="164" formatCode="&quot;$&quot;\ #,##0"/>
    <numFmt numFmtId="165" formatCode="[$$-240A]\ #,##0"/>
    <numFmt numFmtId="166" formatCode="_-[$$-240A]\ * #,##0_-;\-[$$-240A]\ * #,##0_-;_-[$$-240A]\ * &quot;-&quot;??_-;_-@_-"/>
    <numFmt numFmtId="167" formatCode="_-[$$-240A]\ * #,##0.00_-;\-[$$-240A]\ * #,##0.00_-;_-[$$-240A]\ * &quot;-&quot;??_-;_-@_-"/>
  </numFmts>
  <fonts count="21">
    <font>
      <name val="Aptos Narrow"/>
      <color theme="1"/>
      <sz val="11"/>
      <scheme val="minor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Aptos Narrow"/>
      <family val="2"/>
      <sz val="11"/>
    </font>
    <font>
      <name val="Century Gothic"/>
      <family val="2"/>
      <b val="1"/>
      <color theme="1"/>
      <sz val="8"/>
    </font>
    <font>
      <name val="Century Gothic"/>
      <family val="2"/>
      <color rgb="FFFF0000"/>
      <sz val="9"/>
    </font>
    <font>
      <name val="Century Gothic"/>
      <family val="2"/>
      <color theme="8"/>
      <sz val="9"/>
    </font>
    <font>
      <name val="Aptos Narrow"/>
      <family val="2"/>
      <color theme="10"/>
      <sz val="11"/>
      <u val="single"/>
      <scheme val="minor"/>
    </font>
    <font>
      <name val="Century Gothic"/>
      <family val="2"/>
      <i val="1"/>
      <color theme="7"/>
      <sz val="9"/>
    </font>
    <font>
      <name val="Century Gothic"/>
      <family val="2"/>
      <color theme="8" tint="0.3999755851924192"/>
      <sz val="9"/>
    </font>
    <font>
      <name val="Century Gothic"/>
      <family val="2"/>
      <color theme="7"/>
      <sz val="9"/>
    </font>
    <font>
      <name val="Century Gothic"/>
      <color theme="1"/>
      <sz val="9"/>
    </font>
    <font>
      <name val="Aptos Narrow"/>
      <charset val="1"/>
      <color rgb="FF242424"/>
      <sz val="11"/>
    </font>
    <font>
      <name val="Poppins"/>
      <color theme="1"/>
      <sz val="9"/>
    </font>
    <font>
      <name val="Poppins"/>
      <color rgb="FF242424"/>
      <sz val="9"/>
    </font>
    <font>
      <name val="Poppins"/>
      <color rgb="FF000000"/>
      <sz val="9"/>
    </font>
    <font>
      <name val="Poppins"/>
      <sz val="9"/>
    </font>
    <font>
      <name val="Poppins"/>
      <color theme="1"/>
      <sz val="9"/>
      <u val="single"/>
    </font>
    <font>
      <name val="Poppins"/>
      <b val="1"/>
      <color theme="0"/>
      <sz val="9"/>
    </font>
    <font>
      <name val="Poppins"/>
      <color theme="1"/>
      <sz val="8"/>
    </font>
    <font>
      <name val="Poppins"/>
      <color theme="10"/>
      <sz val="8"/>
      <u val="single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/>
        <bgColor indexed="64"/>
      </patternFill>
    </fill>
  </fills>
  <borders count="146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thin">
        <color rgb="FF00B0F0"/>
      </bottom>
      <diagonal/>
    </border>
    <border>
      <left/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E345AE"/>
      </left>
      <right/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 style="thin">
        <color rgb="FFE345AE"/>
      </bottom>
      <diagonal/>
    </border>
    <border>
      <left/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FB6715"/>
      </left>
      <right/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 style="thin">
        <color rgb="FFFB6715"/>
      </bottom>
      <diagonal/>
    </border>
    <border>
      <left/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/>
      <top style="thin">
        <color rgb="FFE345AE"/>
      </top>
      <bottom style="thin">
        <color rgb="FFE345AE"/>
      </bottom>
      <diagonal/>
    </border>
    <border>
      <left/>
      <right/>
      <top style="thin">
        <color rgb="FFE345AE"/>
      </top>
      <bottom style="thin">
        <color rgb="FFE345AE"/>
      </bottom>
      <diagonal/>
    </border>
    <border>
      <left/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/>
      <top style="thin">
        <color rgb="FFFB6715"/>
      </top>
      <bottom style="thin">
        <color rgb="FFFB6715"/>
      </bottom>
      <diagonal/>
    </border>
    <border>
      <left/>
      <right/>
      <top style="thin">
        <color rgb="FFFB6715"/>
      </top>
      <bottom style="thin">
        <color rgb="FFFB6715"/>
      </bottom>
      <diagonal/>
    </border>
    <border>
      <left/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medium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FB6715"/>
      </left>
      <right/>
      <top style="thin">
        <color rgb="FFFB6715"/>
      </top>
      <bottom style="medium">
        <color rgb="FFFB6715"/>
      </bottom>
      <diagonal/>
    </border>
    <border>
      <left/>
      <right/>
      <top style="thin">
        <color rgb="FFFB6715"/>
      </top>
      <bottom style="medium">
        <color rgb="FFFB6715"/>
      </bottom>
      <diagonal/>
    </border>
    <border>
      <left/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/>
      <diagonal/>
    </border>
    <border>
      <left style="medium">
        <color rgb="FFE345AE"/>
      </left>
      <right style="thin">
        <color rgb="FFE345AE"/>
      </right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thin">
        <color rgb="FFE345AE"/>
      </top>
      <bottom style="thin">
        <color rgb="FFE345AE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E345AE"/>
      </left>
      <right/>
      <top style="thin">
        <color rgb="FFE345AE"/>
      </top>
      <bottom style="medium">
        <color rgb="FFE345AE"/>
      </bottom>
      <diagonal/>
    </border>
    <border>
      <left/>
      <right/>
      <top style="thin">
        <color rgb="FFE345AE"/>
      </top>
      <bottom style="medium">
        <color rgb="FFE345AE"/>
      </bottom>
      <diagonal/>
    </border>
    <border>
      <left/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345AE"/>
      </top>
      <bottom/>
      <diagonal/>
    </border>
    <border>
      <left/>
      <right style="medium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/>
      <right/>
      <top style="thin">
        <color rgb="FFFB6715"/>
      </top>
      <bottom/>
      <diagonal/>
    </border>
    <border>
      <left/>
      <right style="medium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E345AE"/>
      </left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/>
      <diagonal/>
    </border>
    <border>
      <left/>
      <right style="medium">
        <color rgb="FFE345AE"/>
      </right>
      <top style="medium">
        <color rgb="FFE345AE"/>
      </top>
      <bottom/>
      <diagonal/>
    </border>
    <border>
      <left style="medium">
        <color rgb="FFE345AE"/>
      </left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FB6715"/>
      </left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/>
      <diagonal/>
    </border>
    <border>
      <left/>
      <right style="medium">
        <color rgb="FFFB6715"/>
      </right>
      <top style="medium">
        <color rgb="FFFB6715"/>
      </top>
      <bottom/>
      <diagonal/>
    </border>
    <border>
      <left style="medium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 style="medium">
        <color rgb="FF00B0F0"/>
      </right>
      <top style="thin">
        <color rgb="FF00B0F0"/>
      </top>
      <bottom/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/>
      <diagonal/>
    </border>
    <border>
      <left/>
      <right style="medium">
        <color rgb="FF7030A0"/>
      </right>
      <top style="thin">
        <color rgb="FF7030A0"/>
      </top>
      <bottom/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/>
      <right style="medium">
        <color rgb="FF00B050"/>
      </right>
      <top style="thin">
        <color rgb="FF00B050"/>
      </top>
      <bottom/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FB6715"/>
      </left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</borders>
  <cellStyleXfs count="2">
    <xf numFmtId="0" fontId="0" fillId="0" borderId="0"/>
    <xf numFmtId="0" fontId="7" fillId="0" borderId="0"/>
  </cellStyleXfs>
  <cellXfs count="3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31" pivotButton="0" quotePrefix="0" xfId="0"/>
    <xf numFmtId="0" fontId="2" fillId="0" borderId="32" applyAlignment="1" pivotButton="0" quotePrefix="0" xfId="0">
      <alignment vertical="center" wrapText="1"/>
    </xf>
    <xf numFmtId="0" fontId="2" fillId="0" borderId="33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34" pivotButton="0" quotePrefix="0" xfId="0"/>
    <xf numFmtId="0" fontId="2" fillId="0" borderId="35" applyAlignment="1" pivotButton="0" quotePrefix="0" xfId="0">
      <alignment vertical="center" wrapText="1"/>
    </xf>
    <xf numFmtId="0" fontId="2" fillId="0" borderId="36" applyAlignment="1" pivotButton="0" quotePrefix="0" xfId="0">
      <alignment vertical="center" wrapText="1"/>
    </xf>
    <xf numFmtId="0" fontId="2" fillId="0" borderId="37" pivotButton="0" quotePrefix="0" xfId="0"/>
    <xf numFmtId="0" fontId="2" fillId="0" borderId="38" applyAlignment="1" pivotButton="0" quotePrefix="0" xfId="0">
      <alignment vertical="center" wrapText="1"/>
    </xf>
    <xf numFmtId="0" fontId="2" fillId="0" borderId="39" applyAlignment="1" pivotButton="0" quotePrefix="0" xfId="0">
      <alignment vertical="center" wrapText="1"/>
    </xf>
    <xf numFmtId="0" fontId="2" fillId="0" borderId="40" pivotButton="0" quotePrefix="0" xfId="0"/>
    <xf numFmtId="0" fontId="2" fillId="0" borderId="41" applyAlignment="1" pivotButton="0" quotePrefix="0" xfId="0">
      <alignment vertical="center" wrapText="1"/>
    </xf>
    <xf numFmtId="0" fontId="2" fillId="0" borderId="42" applyAlignment="1" pivotButton="0" quotePrefix="0" xfId="0">
      <alignment vertical="center" wrapText="1"/>
    </xf>
    <xf numFmtId="0" fontId="2" fillId="0" borderId="43" pivotButton="0" quotePrefix="0" xfId="0"/>
    <xf numFmtId="0" fontId="2" fillId="0" borderId="44" applyAlignment="1" pivotButton="0" quotePrefix="0" xfId="0">
      <alignment vertical="center" wrapText="1"/>
    </xf>
    <xf numFmtId="0" fontId="2" fillId="0" borderId="45" applyAlignment="1" pivotButton="0" quotePrefix="0" xfId="0">
      <alignment vertical="center" wrapText="1"/>
    </xf>
    <xf numFmtId="0" fontId="1" fillId="0" borderId="31" pivotButton="0" quotePrefix="0" xfId="0"/>
    <xf numFmtId="0" fontId="1" fillId="0" borderId="32" applyAlignment="1" pivotButton="0" quotePrefix="0" xfId="0">
      <alignment vertical="center" wrapText="1"/>
    </xf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1" fillId="0" borderId="35" pivotButton="0" quotePrefix="0" xfId="0"/>
    <xf numFmtId="0" fontId="1" fillId="0" borderId="35" applyAlignment="1" pivotButton="0" quotePrefix="0" xfId="0">
      <alignment vertical="center" wrapText="1"/>
    </xf>
    <xf numFmtId="0" fontId="1" fillId="0" borderId="36" pivotButton="0" quotePrefix="0" xfId="0"/>
    <xf numFmtId="0" fontId="1" fillId="0" borderId="37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42" applyAlignment="1" pivotButton="0" quotePrefix="0" xfId="0">
      <alignment vertical="center" wrapText="1"/>
    </xf>
    <xf numFmtId="0" fontId="1" fillId="0" borderId="43" applyAlignment="1" pivotButton="0" quotePrefix="0" xfId="0">
      <alignment vertical="center" wrapText="1"/>
    </xf>
    <xf numFmtId="0" fontId="1" fillId="0" borderId="44" applyAlignment="1" pivotButton="0" quotePrefix="0" xfId="0">
      <alignment vertical="center" wrapText="1"/>
    </xf>
    <xf numFmtId="0" fontId="1" fillId="0" borderId="45" pivotButton="0" quotePrefix="0" xfId="0"/>
    <xf numFmtId="0" fontId="1" fillId="0" borderId="33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1" fillId="0" borderId="36" applyAlignment="1" pivotButton="0" quotePrefix="0" xfId="0">
      <alignment vertical="center" wrapText="1"/>
    </xf>
    <xf numFmtId="0" fontId="1" fillId="0" borderId="46" applyAlignment="1" pivotButton="0" quotePrefix="0" xfId="0">
      <alignment vertical="center" wrapText="1"/>
    </xf>
    <xf numFmtId="0" fontId="1" fillId="0" borderId="47" applyAlignment="1" pivotButton="0" quotePrefix="0" xfId="0">
      <alignment vertical="center" wrapText="1"/>
    </xf>
    <xf numFmtId="0" fontId="1" fillId="0" borderId="48" applyAlignment="1" pivotButton="0" quotePrefix="0" xfId="0">
      <alignment vertical="center" wrapText="1"/>
    </xf>
    <xf numFmtId="0" fontId="1" fillId="0" borderId="44" applyAlignment="1" pivotButton="0" quotePrefix="0" xfId="0">
      <alignment horizontal="center" wrapText="1"/>
    </xf>
    <xf numFmtId="0" fontId="4" fillId="0" borderId="49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37" applyAlignment="1" pivotButton="0" quotePrefix="0" xfId="0">
      <alignment vertical="center" wrapText="1"/>
    </xf>
    <xf numFmtId="0" fontId="5" fillId="0" borderId="4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43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4" fillId="0" borderId="3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3" applyAlignment="1" pivotButton="0" quotePrefix="0" xfId="0">
      <alignment vertical="center" wrapText="1"/>
    </xf>
    <xf numFmtId="0" fontId="1" fillId="0" borderId="54" applyAlignment="1" pivotButton="0" quotePrefix="0" xfId="0">
      <alignment vertical="center" wrapText="1"/>
    </xf>
    <xf numFmtId="0" fontId="1" fillId="0" borderId="44" applyAlignment="1" pivotButton="0" quotePrefix="0" xfId="0">
      <alignment wrapText="1"/>
    </xf>
    <xf numFmtId="0" fontId="4" fillId="0" borderId="55" applyAlignment="1" pivotButton="0" quotePrefix="0" xfId="0">
      <alignment vertical="center" wrapText="1"/>
    </xf>
    <xf numFmtId="0" fontId="1" fillId="0" borderId="57" applyAlignment="1" pivotButton="0" quotePrefix="0" xfId="0">
      <alignment vertical="center" wrapText="1"/>
    </xf>
    <xf numFmtId="0" fontId="1" fillId="0" borderId="58" applyAlignment="1" pivotButton="0" quotePrefix="0" xfId="0">
      <alignment vertical="center" wrapText="1"/>
    </xf>
    <xf numFmtId="0" fontId="1" fillId="0" borderId="58" pivotButton="0" quotePrefix="0" xfId="0"/>
    <xf numFmtId="0" fontId="1" fillId="0" borderId="59" pivotButton="0" quotePrefix="0" xfId="0"/>
    <xf numFmtId="0" fontId="4" fillId="0" borderId="37" applyAlignment="1" pivotButton="0" quotePrefix="0" xfId="0">
      <alignment vertical="center" wrapText="1"/>
    </xf>
    <xf numFmtId="0" fontId="4" fillId="0" borderId="61" applyAlignment="1" pivotButton="0" quotePrefix="0" xfId="0">
      <alignment vertical="center" wrapText="1"/>
    </xf>
    <xf numFmtId="0" fontId="4" fillId="0" borderId="43" applyAlignment="1" pivotButton="0" quotePrefix="0" xfId="0">
      <alignment vertical="center" wrapText="1"/>
    </xf>
    <xf numFmtId="0" fontId="4" fillId="0" borderId="64" applyAlignment="1" pivotButton="0" quotePrefix="0" xfId="0">
      <alignment vertical="center" wrapText="1"/>
    </xf>
    <xf numFmtId="0" fontId="1" fillId="0" borderId="40" pivotButton="0" quotePrefix="0" xfId="0"/>
    <xf numFmtId="0" fontId="1" fillId="0" borderId="41" pivotButton="0" quotePrefix="0" xfId="0"/>
    <xf numFmtId="0" fontId="1" fillId="0" borderId="42" pivotButton="0" quotePrefix="0" xfId="0"/>
    <xf numFmtId="0" fontId="4" fillId="0" borderId="68" applyAlignment="1" pivotButton="0" quotePrefix="0" xfId="0">
      <alignment vertical="center" wrapText="1"/>
    </xf>
    <xf numFmtId="0" fontId="1" fillId="0" borderId="41" applyAlignment="1" pivotButton="0" quotePrefix="0" xfId="0">
      <alignment wrapText="1"/>
    </xf>
    <xf numFmtId="0" fontId="4" fillId="0" borderId="72" applyAlignment="1" pivotButton="0" quotePrefix="0" xfId="0">
      <alignment vertical="center" wrapText="1"/>
    </xf>
    <xf numFmtId="0" fontId="1" fillId="0" borderId="76" pivotButton="0" quotePrefix="0" xfId="0"/>
    <xf numFmtId="0" fontId="2" fillId="0" borderId="77" applyAlignment="1" pivotButton="0" quotePrefix="0" xfId="0">
      <alignment vertical="center" wrapText="1"/>
    </xf>
    <xf numFmtId="0" fontId="1" fillId="0" borderId="77" applyAlignment="1" pivotButton="0" quotePrefix="0" xfId="0">
      <alignment vertical="center" wrapText="1"/>
    </xf>
    <xf numFmtId="0" fontId="1" fillId="0" borderId="78" applyAlignment="1" pivotButton="0" quotePrefix="0" xfId="0">
      <alignment vertical="center" wrapText="1"/>
    </xf>
    <xf numFmtId="0" fontId="4" fillId="0" borderId="79" applyAlignment="1" pivotButton="0" quotePrefix="0" xfId="0">
      <alignment vertical="center" wrapText="1"/>
    </xf>
    <xf numFmtId="0" fontId="4" fillId="0" borderId="31" applyAlignment="1" pivotButton="0" quotePrefix="0" xfId="0">
      <alignment vertical="center" wrapText="1"/>
    </xf>
    <xf numFmtId="0" fontId="1" fillId="0" borderId="82" pivotButton="0" quotePrefix="0" xfId="0"/>
    <xf numFmtId="0" fontId="1" fillId="0" borderId="83" pivotButton="0" quotePrefix="0" xfId="0"/>
    <xf numFmtId="0" fontId="1" fillId="0" borderId="84" pivotButton="0" quotePrefix="0" xfId="0"/>
    <xf numFmtId="0" fontId="2" fillId="0" borderId="85" applyAlignment="1" pivotButton="0" quotePrefix="0" xfId="0">
      <alignment vertical="center" wrapText="1"/>
    </xf>
    <xf numFmtId="0" fontId="4" fillId="0" borderId="40" applyAlignment="1" pivotButton="0" quotePrefix="0" xfId="0">
      <alignment vertical="center" wrapText="1"/>
    </xf>
    <xf numFmtId="0" fontId="4" fillId="0" borderId="88" applyAlignment="1" pivotButton="0" quotePrefix="0" xfId="0">
      <alignment vertical="center" wrapText="1"/>
    </xf>
    <xf numFmtId="0" fontId="4" fillId="0" borderId="92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horizont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applyAlignment="1" pivotButton="0" quotePrefix="0" xfId="0">
      <alignment horizontal="left" indent="2"/>
    </xf>
    <xf numFmtId="0" fontId="11" fillId="2" borderId="0" applyAlignment="1" pivotButton="0" quotePrefix="0" xfId="0">
      <alignment wrapText="1"/>
    </xf>
    <xf numFmtId="0" fontId="13" fillId="0" borderId="96" applyAlignment="1" pivotButton="0" quotePrefix="0" xfId="0">
      <alignment horizontal="center" vertical="center" wrapText="1"/>
    </xf>
    <xf numFmtId="0" fontId="13" fillId="3" borderId="96" applyAlignment="1" pivotButton="0" quotePrefix="0" xfId="0">
      <alignment horizontal="center" vertical="center" wrapText="1"/>
    </xf>
    <xf numFmtId="1" fontId="13" fillId="3" borderId="96" applyAlignment="1" pivotButton="0" quotePrefix="0" xfId="0">
      <alignment horizontal="center" vertical="center" wrapText="1"/>
    </xf>
    <xf numFmtId="14" fontId="13" fillId="3" borderId="96" applyAlignment="1" pivotButton="0" quotePrefix="0" xfId="0">
      <alignment horizontal="center" vertical="center" wrapText="1"/>
    </xf>
    <xf numFmtId="0" fontId="14" fillId="3" borderId="96" applyAlignment="1" pivotButton="0" quotePrefix="0" xfId="0">
      <alignment horizontal="center" vertical="center" wrapText="1"/>
    </xf>
    <xf numFmtId="0" fontId="13" fillId="2" borderId="96" applyAlignment="1" pivotButton="0" quotePrefix="0" xfId="0">
      <alignment horizontal="center" vertical="center" wrapText="1"/>
    </xf>
    <xf numFmtId="0" fontId="14" fillId="2" borderId="96" applyAlignment="1" pivotButton="0" quotePrefix="0" xfId="0">
      <alignment horizontal="center" vertical="center" wrapText="1"/>
    </xf>
    <xf numFmtId="0" fontId="15" fillId="2" borderId="96" applyAlignment="1" pivotButton="0" quotePrefix="0" xfId="0">
      <alignment horizontal="center" vertical="center" wrapText="1"/>
    </xf>
    <xf numFmtId="1" fontId="13" fillId="2" borderId="96" applyAlignment="1" pivotButton="0" quotePrefix="0" xfId="0">
      <alignment horizontal="center" vertical="center" wrapText="1"/>
    </xf>
    <xf numFmtId="14" fontId="13" fillId="2" borderId="96" applyAlignment="1" pivotButton="0" quotePrefix="0" xfId="0">
      <alignment horizontal="center" vertical="center" wrapText="1"/>
    </xf>
    <xf numFmtId="0" fontId="15" fillId="3" borderId="96" applyAlignment="1" pivotButton="0" quotePrefix="0" xfId="0">
      <alignment horizontal="center" vertical="center" wrapText="1"/>
    </xf>
    <xf numFmtId="0" fontId="14" fillId="3" borderId="97" applyAlignment="1" pivotButton="0" quotePrefix="0" xfId="0">
      <alignment horizontal="center" vertical="center" wrapText="1"/>
    </xf>
    <xf numFmtId="0" fontId="13" fillId="3" borderId="97" applyAlignment="1" pivotButton="0" quotePrefix="0" xfId="0">
      <alignment horizontal="center" vertical="center" wrapText="1"/>
    </xf>
    <xf numFmtId="1" fontId="13" fillId="2" borderId="97" applyAlignment="1" pivotButton="0" quotePrefix="0" xfId="0">
      <alignment horizontal="center" vertical="center" wrapText="1"/>
    </xf>
    <xf numFmtId="1" fontId="13" fillId="3" borderId="97" applyAlignment="1" pivotButton="0" quotePrefix="0" xfId="0">
      <alignment horizontal="center" vertical="center" wrapText="1"/>
    </xf>
    <xf numFmtId="14" fontId="13" fillId="2" borderId="97" applyAlignment="1" pivotButton="0" quotePrefix="0" xfId="0">
      <alignment horizontal="center" vertical="center" wrapText="1"/>
    </xf>
    <xf numFmtId="0" fontId="13" fillId="4" borderId="96" applyAlignment="1" pivotButton="0" quotePrefix="0" xfId="0">
      <alignment horizontal="center" vertical="center" wrapText="1"/>
    </xf>
    <xf numFmtId="1" fontId="13" fillId="4" borderId="96" applyAlignment="1" pivotButton="0" quotePrefix="0" xfId="0">
      <alignment horizontal="center" vertical="center" wrapText="1"/>
    </xf>
    <xf numFmtId="14" fontId="13" fillId="4" borderId="96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6" fillId="2" borderId="96" applyAlignment="1" pivotButton="0" quotePrefix="0" xfId="0">
      <alignment horizontal="center" vertical="center" wrapText="1"/>
    </xf>
    <xf numFmtId="0" fontId="14" fillId="4" borderId="96" applyAlignment="1" pivotButton="0" quotePrefix="0" xfId="0">
      <alignment horizontal="center" vertical="center" wrapText="1"/>
    </xf>
    <xf numFmtId="0" fontId="15" fillId="4" borderId="96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14" fontId="13" fillId="3" borderId="97" applyAlignment="1" pivotButton="0" quotePrefix="0" xfId="0">
      <alignment horizontal="center" vertical="center" wrapText="1"/>
    </xf>
    <xf numFmtId="0" fontId="13" fillId="3" borderId="100" applyAlignment="1" pivotButton="0" quotePrefix="0" xfId="0">
      <alignment horizontal="center" vertical="center" wrapText="1"/>
    </xf>
    <xf numFmtId="0" fontId="14" fillId="3" borderId="101" applyAlignment="1" pivotButton="0" quotePrefix="0" xfId="0">
      <alignment horizontal="center" vertical="center" wrapText="1"/>
    </xf>
    <xf numFmtId="0" fontId="13" fillId="3" borderId="99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" fontId="13" fillId="0" borderId="0" applyAlignment="1" pivotButton="0" quotePrefix="0" xfId="0">
      <alignment wrapText="1"/>
    </xf>
    <xf numFmtId="165" fontId="13" fillId="0" borderId="0" applyAlignment="1" pivotButton="0" quotePrefix="0" xfId="0">
      <alignment wrapText="1"/>
    </xf>
    <xf numFmtId="0" fontId="13" fillId="2" borderId="0" applyAlignment="1" pivotButton="0" quotePrefix="0" xfId="0">
      <alignment wrapText="1"/>
    </xf>
    <xf numFmtId="0" fontId="13" fillId="2" borderId="0" applyAlignment="1" pivotButton="0" quotePrefix="0" xfId="0">
      <alignment vertical="center" wrapText="1"/>
    </xf>
    <xf numFmtId="165" fontId="13" fillId="2" borderId="0" applyAlignment="1" pivotButton="0" quotePrefix="0" xfId="0">
      <alignment wrapText="1"/>
    </xf>
    <xf numFmtId="166" fontId="13" fillId="0" borderId="0" applyAlignment="1" pivotButton="0" quotePrefix="0" xfId="0">
      <alignment wrapText="1"/>
    </xf>
    <xf numFmtId="165" fontId="13" fillId="0" borderId="96" applyAlignment="1" pivotButton="0" quotePrefix="0" xfId="0">
      <alignment horizontal="right" vertical="center" wrapText="1"/>
    </xf>
    <xf numFmtId="165" fontId="13" fillId="0" borderId="96" applyAlignment="1" pivotButton="0" quotePrefix="0" xfId="0">
      <alignment horizontal="center" vertical="center" wrapText="1"/>
    </xf>
    <xf numFmtId="165" fontId="13" fillId="3" borderId="96" applyAlignment="1" pivotButton="0" quotePrefix="0" xfId="0">
      <alignment horizontal="right" vertical="center" wrapText="1"/>
    </xf>
    <xf numFmtId="165" fontId="13" fillId="2" borderId="96" applyAlignment="1" pivotButton="0" quotePrefix="0" xfId="0">
      <alignment horizontal="right" vertical="center" wrapText="1"/>
    </xf>
    <xf numFmtId="165" fontId="13" fillId="2" borderId="97" applyAlignment="1" pivotButton="0" quotePrefix="0" xfId="0">
      <alignment horizontal="right" vertical="center" wrapText="1"/>
    </xf>
    <xf numFmtId="165" fontId="13" fillId="4" borderId="96" applyAlignment="1" pivotButton="0" quotePrefix="0" xfId="0">
      <alignment horizontal="right" vertical="center" wrapText="1"/>
    </xf>
    <xf numFmtId="0" fontId="17" fillId="3" borderId="96" applyAlignment="1" pivotButton="0" quotePrefix="0" xfId="0">
      <alignment horizontal="center" vertical="center" wrapText="1"/>
    </xf>
    <xf numFmtId="165" fontId="13" fillId="3" borderId="97" applyAlignment="1" pivotButton="0" quotePrefix="0" xfId="0">
      <alignment horizontal="right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wrapText="1"/>
    </xf>
    <xf numFmtId="0" fontId="13" fillId="3" borderId="102" applyAlignment="1" pivotButton="0" quotePrefix="0" xfId="0">
      <alignment horizontal="center" vertical="center" wrapText="1"/>
    </xf>
    <xf numFmtId="0" fontId="14" fillId="3" borderId="103" applyAlignment="1" pivotButton="0" quotePrefix="0" xfId="0">
      <alignment horizontal="center" vertical="center" wrapText="1"/>
    </xf>
    <xf numFmtId="165" fontId="13" fillId="2" borderId="104" applyAlignment="1" pivotButton="0" quotePrefix="0" xfId="0">
      <alignment horizontal="right" vertical="center" wrapText="1"/>
    </xf>
    <xf numFmtId="165" fontId="13" fillId="2" borderId="99" applyAlignment="1" pivotButton="0" quotePrefix="0" xfId="0">
      <alignment horizontal="right" vertical="center" wrapText="1"/>
    </xf>
    <xf numFmtId="165" fontId="13" fillId="0" borderId="0" applyAlignment="1" pivotButton="0" quotePrefix="0" xfId="0">
      <alignment horizontal="right" wrapText="1"/>
    </xf>
    <xf numFmtId="0" fontId="14" fillId="0" borderId="96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wrapText="1"/>
    </xf>
    <xf numFmtId="165" fontId="15" fillId="2" borderId="98" applyAlignment="1" pivotButton="0" quotePrefix="0" xfId="0">
      <alignment horizontal="right" vertical="center" wrapText="1"/>
    </xf>
    <xf numFmtId="165" fontId="15" fillId="2" borderId="96" applyAlignment="1" pivotButton="0" quotePrefix="0" xfId="0">
      <alignment horizontal="right" vertical="center" wrapText="1"/>
    </xf>
    <xf numFmtId="0" fontId="12" fillId="3" borderId="96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vertical="center" wrapText="1"/>
    </xf>
    <xf numFmtId="0" fontId="18" fillId="5" borderId="9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9" fillId="0" borderId="96" applyAlignment="1" pivotButton="0" quotePrefix="0" xfId="0">
      <alignment horizontal="center" vertical="center" wrapText="1"/>
    </xf>
    <xf numFmtId="0" fontId="20" fillId="3" borderId="96" applyAlignment="1" pivotButton="0" quotePrefix="0" xfId="1">
      <alignment horizontal="center" vertical="center" wrapText="1"/>
    </xf>
    <xf numFmtId="0" fontId="19" fillId="3" borderId="96" applyAlignment="1" pivotButton="0" quotePrefix="0" xfId="0">
      <alignment horizontal="center" vertical="center" wrapText="1"/>
    </xf>
    <xf numFmtId="0" fontId="20" fillId="2" borderId="96" applyAlignment="1" pivotButton="0" quotePrefix="0" xfId="1">
      <alignment horizontal="center" vertical="center" wrapText="1"/>
    </xf>
    <xf numFmtId="0" fontId="19" fillId="2" borderId="96" applyAlignment="1" pivotButton="0" quotePrefix="0" xfId="0">
      <alignment horizontal="center" vertical="center" wrapText="1"/>
    </xf>
    <xf numFmtId="0" fontId="19" fillId="2" borderId="97" applyAlignment="1" pivotButton="0" quotePrefix="0" xfId="0">
      <alignment horizontal="center" vertical="center" wrapText="1"/>
    </xf>
    <xf numFmtId="0" fontId="20" fillId="4" borderId="96" applyAlignment="1" pivotButton="0" quotePrefix="0" xfId="1">
      <alignment horizontal="center" vertical="center" wrapText="1"/>
    </xf>
    <xf numFmtId="0" fontId="20" fillId="0" borderId="0" applyAlignment="1" pivotButton="0" quotePrefix="0" xfId="1">
      <alignment wrapText="1"/>
    </xf>
    <xf numFmtId="0" fontId="20" fillId="4" borderId="0" applyAlignment="1" pivotButton="0" quotePrefix="0" xfId="1">
      <alignment horizontal="center" vertical="center" wrapText="1"/>
    </xf>
    <xf numFmtId="0" fontId="19" fillId="4" borderId="96" applyAlignment="1" pivotButton="0" quotePrefix="0" xfId="0">
      <alignment horizontal="center" vertical="center" wrapText="1"/>
    </xf>
    <xf numFmtId="0" fontId="20" fillId="3" borderId="0" applyAlignment="1" pivotButton="0" quotePrefix="0" xfId="1">
      <alignment horizontal="center" vertical="center" wrapText="1"/>
    </xf>
    <xf numFmtId="0" fontId="20" fillId="3" borderId="0" applyAlignment="1" pivotButton="0" quotePrefix="0" xfId="1">
      <alignment wrapText="1"/>
    </xf>
    <xf numFmtId="0" fontId="19" fillId="3" borderId="97" applyAlignment="1" pivotButton="0" quotePrefix="0" xfId="0">
      <alignment horizontal="center" vertical="center" wrapText="1"/>
    </xf>
    <xf numFmtId="0" fontId="20" fillId="3" borderId="97" applyAlignment="1" pivotButton="0" quotePrefix="0" xfId="1">
      <alignment horizontal="center" vertical="center" wrapText="1"/>
    </xf>
    <xf numFmtId="0" fontId="19" fillId="3" borderId="102" applyAlignment="1" pivotButton="0" quotePrefix="0" xfId="0">
      <alignment horizontal="center" vertical="center" wrapText="1"/>
    </xf>
    <xf numFmtId="0" fontId="19" fillId="3" borderId="100" applyAlignment="1" pivotButton="0" quotePrefix="0" xfId="0">
      <alignment horizontal="center" vertical="center" wrapText="1"/>
    </xf>
    <xf numFmtId="0" fontId="19" fillId="0" borderId="0" applyAlignment="1" pivotButton="0" quotePrefix="0" xfId="0">
      <alignment wrapText="1"/>
    </xf>
    <xf numFmtId="166" fontId="19" fillId="0" borderId="0" applyAlignment="1" pivotButton="0" quotePrefix="0" xfId="0">
      <alignment wrapText="1"/>
    </xf>
    <xf numFmtId="167" fontId="13" fillId="0" borderId="0" applyAlignment="1" pivotButton="0" quotePrefix="0" xfId="0">
      <alignment horizontal="center" vertical="center" wrapText="1"/>
    </xf>
    <xf numFmtId="165" fontId="13" fillId="3" borderId="96" applyAlignment="1" pivotButton="0" quotePrefix="0" xfId="0">
      <alignment vertical="center" wrapText="1"/>
    </xf>
    <xf numFmtId="165" fontId="13" fillId="2" borderId="96" applyAlignment="1" pivotButton="0" quotePrefix="0" xfId="0">
      <alignment vertical="center" wrapText="1"/>
    </xf>
    <xf numFmtId="165" fontId="13" fillId="2" borderId="97" applyAlignment="1" pivotButton="0" quotePrefix="0" xfId="0">
      <alignment vertical="center" wrapText="1"/>
    </xf>
    <xf numFmtId="165" fontId="13" fillId="4" borderId="96" applyAlignment="1" pivotButton="0" quotePrefix="0" xfId="0">
      <alignment vertical="center" wrapText="1"/>
    </xf>
    <xf numFmtId="165" fontId="15" fillId="2" borderId="96" applyAlignment="1" pivotButton="0" quotePrefix="0" xfId="0">
      <alignment vertical="center" wrapText="1"/>
    </xf>
    <xf numFmtId="165" fontId="13" fillId="2" borderId="104" applyAlignment="1" pivotButton="0" quotePrefix="0" xfId="0">
      <alignment vertical="center" wrapText="1"/>
    </xf>
    <xf numFmtId="165" fontId="13" fillId="2" borderId="99" applyAlignment="1" pivotButton="0" quotePrefix="0" xfId="0">
      <alignment vertical="center" wrapText="1"/>
    </xf>
    <xf numFmtId="165" fontId="15" fillId="0" borderId="98" applyAlignment="1" pivotButton="0" quotePrefix="0" xfId="0">
      <alignment vertical="center" wrapText="1"/>
    </xf>
    <xf numFmtId="0" fontId="1" fillId="0" borderId="89" applyAlignment="1" pivotButton="0" quotePrefix="0" xfId="0">
      <alignment vertical="center" wrapText="1"/>
    </xf>
    <xf numFmtId="0" fontId="1" fillId="0" borderId="65" applyAlignment="1" pivotButton="0" quotePrefix="0" xfId="0">
      <alignment vertical="center" wrapText="1"/>
    </xf>
    <xf numFmtId="0" fontId="1" fillId="0" borderId="80" applyAlignment="1" pivotButton="0" quotePrefix="0" xfId="0">
      <alignment horizontal="center"/>
    </xf>
    <xf numFmtId="0" fontId="1" fillId="0" borderId="81" applyAlignment="1" pivotButton="0" quotePrefix="0" xfId="0">
      <alignment vertical="center" wrapText="1"/>
    </xf>
    <xf numFmtId="0" fontId="1" fillId="0" borderId="62" applyAlignment="1" pivotButton="0" quotePrefix="0" xfId="0">
      <alignment horizontal="center"/>
    </xf>
    <xf numFmtId="0" fontId="1" fillId="0" borderId="63" applyAlignment="1" pivotButton="0" quotePrefix="0" xfId="0">
      <alignment vertical="center" wrapText="1"/>
    </xf>
    <xf numFmtId="0" fontId="1" fillId="0" borderId="69" applyAlignment="1" pivotButton="0" quotePrefix="0" xfId="0">
      <alignment vertical="center" wrapText="1"/>
    </xf>
    <xf numFmtId="0" fontId="1" fillId="0" borderId="60" applyAlignment="1" pivotButton="0" quotePrefix="0" xfId="0">
      <alignment vertical="center" wrapText="1"/>
    </xf>
    <xf numFmtId="0" fontId="1" fillId="0" borderId="50" applyAlignment="1" pivotButton="0" quotePrefix="0" xfId="0">
      <alignment horizontal="center"/>
    </xf>
    <xf numFmtId="0" fontId="1" fillId="0" borderId="51" applyAlignment="1" pivotButton="0" quotePrefix="0" xfId="0">
      <alignment vertical="center" wrapText="1"/>
    </xf>
    <xf numFmtId="0" fontId="1" fillId="0" borderId="5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/>
    </xf>
    <xf numFmtId="0" fontId="1" fillId="0" borderId="93" applyAlignment="1" pivotButton="0" quotePrefix="0" xfId="0">
      <alignment vertical="center" wrapText="1"/>
    </xf>
    <xf numFmtId="0" fontId="1" fillId="0" borderId="73" applyAlignment="1" pivotButton="0" quotePrefix="0" xfId="0">
      <alignment vertical="center" wrapText="1"/>
    </xf>
    <xf numFmtId="0" fontId="1" fillId="0" borderId="87" applyAlignment="1" pivotButton="0" quotePrefix="0" xfId="0">
      <alignment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4" pivotButton="0" quotePrefix="0" xfId="0"/>
    <xf numFmtId="0" fontId="3" fillId="0" borderId="15" pivotButton="0" quotePrefix="0" xfId="0"/>
    <xf numFmtId="0" fontId="3" fillId="0" borderId="17" pivotButton="0" quotePrefix="0" xfId="0"/>
    <xf numFmtId="0" fontId="3" fillId="0" borderId="18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3" pivotButton="0" quotePrefix="0" xfId="0"/>
    <xf numFmtId="0" fontId="3" fillId="0" borderId="24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9" pivotButton="0" quotePrefix="0" xfId="0"/>
    <xf numFmtId="0" fontId="3" fillId="0" borderId="30" pivotButton="0" quotePrefix="0" xfId="0"/>
    <xf numFmtId="0" fontId="1" fillId="0" borderId="51" pivotButton="0" quotePrefix="0" xfId="0"/>
    <xf numFmtId="0" fontId="1" fillId="0" borderId="60" pivotButton="0" quotePrefix="0" xfId="0"/>
    <xf numFmtId="0" fontId="1" fillId="0" borderId="63" pivotButton="0" quotePrefix="0" xfId="0"/>
    <xf numFmtId="0" fontId="3" fillId="0" borderId="66" pivotButton="0" quotePrefix="0" xfId="0"/>
    <xf numFmtId="0" fontId="3" fillId="0" borderId="67" pivotButton="0" quotePrefix="0" xfId="0"/>
    <xf numFmtId="0" fontId="3" fillId="0" borderId="70" pivotButton="0" quotePrefix="0" xfId="0"/>
    <xf numFmtId="0" fontId="3" fillId="0" borderId="71" pivotButton="0" quotePrefix="0" xfId="0"/>
    <xf numFmtId="0" fontId="3" fillId="0" borderId="74" pivotButton="0" quotePrefix="0" xfId="0"/>
    <xf numFmtId="0" fontId="3" fillId="0" borderId="75" pivotButton="0" quotePrefix="0" xfId="0"/>
    <xf numFmtId="0" fontId="1" fillId="0" borderId="81" pivotButton="0" quotePrefix="0" xfId="0"/>
    <xf numFmtId="0" fontId="1" fillId="0" borderId="86" pivotButton="0" quotePrefix="0" xfId="0"/>
    <xf numFmtId="0" fontId="1" fillId="0" borderId="87" pivotButton="0" quotePrefix="0" xfId="0"/>
    <xf numFmtId="0" fontId="3" fillId="0" borderId="90" pivotButton="0" quotePrefix="0" xfId="0"/>
    <xf numFmtId="0" fontId="3" fillId="0" borderId="91" pivotButton="0" quotePrefix="0" xfId="0"/>
    <xf numFmtId="0" fontId="3" fillId="0" borderId="94" pivotButton="0" quotePrefix="0" xfId="0"/>
    <xf numFmtId="0" fontId="3" fillId="0" borderId="95" pivotButton="0" quotePrefix="0" xfId="0"/>
    <xf numFmtId="0" fontId="2" fillId="0" borderId="11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2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12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15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" fillId="0" borderId="12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2" fillId="0" borderId="13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" fillId="0" borderId="130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" fillId="0" borderId="1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2" fillId="0" borderId="11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2" fillId="0" borderId="11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1" fillId="0" borderId="136" applyAlignment="1" pivotButton="0" quotePrefix="0" xfId="0">
      <alignment horizontal="center"/>
    </xf>
    <xf numFmtId="0" fontId="1" fillId="0" borderId="116" applyAlignment="1" pivotButton="0" quotePrefix="0" xfId="0">
      <alignment horizontal="center" vertical="center" wrapText="1"/>
    </xf>
    <xf numFmtId="0" fontId="1" fillId="0" borderId="117" applyAlignment="1" pivotButton="0" quotePrefix="0" xfId="0">
      <alignment horizontal="center" vertical="center" wrapText="1"/>
    </xf>
    <xf numFmtId="0" fontId="1" fillId="0" borderId="139" applyAlignment="1" pivotButton="0" quotePrefix="0" xfId="0">
      <alignment horizontal="center"/>
    </xf>
    <xf numFmtId="0" fontId="1" fillId="0" borderId="140" applyAlignment="1" pivotButton="0" quotePrefix="0" xfId="0">
      <alignment horizontal="center"/>
    </xf>
    <xf numFmtId="0" fontId="1" fillId="0" borderId="141" applyAlignment="1" pivotButton="0" quotePrefix="0" xfId="0">
      <alignment horizontal="center"/>
    </xf>
    <xf numFmtId="0" fontId="1" fillId="0" borderId="39" pivotButton="0" quotePrefix="0" xfId="0"/>
    <xf numFmtId="0" fontId="1" fillId="0" borderId="45" applyAlignment="1" pivotButton="0" quotePrefix="0" xfId="0">
      <alignment vertical="center" wrapText="1"/>
    </xf>
    <xf numFmtId="0" fontId="1" fillId="0" borderId="144" applyAlignment="1" pivotButton="0" quotePrefix="0" xfId="0">
      <alignment vertical="center" wrapText="1"/>
    </xf>
    <xf numFmtId="0" fontId="0" fillId="0" borderId="66" pivotButton="0" quotePrefix="0" xfId="0"/>
    <xf numFmtId="0" fontId="0" fillId="0" borderId="67" pivotButton="0" quotePrefix="0" xfId="0"/>
    <xf numFmtId="0" fontId="1" fillId="0" borderId="142" applyAlignment="1" pivotButton="0" quotePrefix="0" xfId="0">
      <alignment vertical="center" wrapText="1"/>
    </xf>
    <xf numFmtId="0" fontId="0" fillId="0" borderId="70" pivotButton="0" quotePrefix="0" xfId="0"/>
    <xf numFmtId="0" fontId="0" fillId="0" borderId="71" pivotButton="0" quotePrefix="0" xfId="0"/>
    <xf numFmtId="0" fontId="1" fillId="0" borderId="111" applyAlignment="1" pivotButton="0" quotePrefix="0" xfId="0">
      <alignment vertical="center" wrapText="1"/>
    </xf>
    <xf numFmtId="0" fontId="0" fillId="0" borderId="74" pivotButton="0" quotePrefix="0" xfId="0"/>
    <xf numFmtId="0" fontId="0" fillId="0" borderId="75" pivotButton="0" quotePrefix="0" xfId="0"/>
    <xf numFmtId="0" fontId="1" fillId="0" borderId="145" applyAlignment="1" pivotButton="0" quotePrefix="0" xfId="0">
      <alignment horizontal="center"/>
    </xf>
    <xf numFmtId="0" fontId="1" fillId="0" borderId="112" pivotButton="0" quotePrefix="0" xfId="0"/>
    <xf numFmtId="0" fontId="1" fillId="0" borderId="143" applyAlignment="1" pivotButton="0" quotePrefix="0" xfId="0">
      <alignment vertical="center" wrapText="1"/>
    </xf>
    <xf numFmtId="0" fontId="0" fillId="0" borderId="90" pivotButton="0" quotePrefix="0" xfId="0"/>
    <xf numFmtId="0" fontId="0" fillId="0" borderId="91" pivotButton="0" quotePrefix="0" xfId="0"/>
    <xf numFmtId="0" fontId="1" fillId="0" borderId="108" applyAlignment="1" pivotButton="0" quotePrefix="0" xfId="0">
      <alignment vertical="center" wrapText="1"/>
    </xf>
    <xf numFmtId="0" fontId="0" fillId="0" borderId="94" pivotButton="0" quotePrefix="0" xfId="0"/>
    <xf numFmtId="0" fontId="0" fillId="0" borderId="95" pivotButton="0" quotePrefix="0" xfId="0"/>
    <xf numFmtId="165" fontId="13" fillId="0" borderId="0" applyAlignment="1" pivotButton="0" quotePrefix="0" xfId="0">
      <alignment horizontal="right" wrapText="1"/>
    </xf>
    <xf numFmtId="165" fontId="13" fillId="0" borderId="0" applyAlignment="1" pivotButton="0" quotePrefix="0" xfId="0">
      <alignment wrapText="1"/>
    </xf>
    <xf numFmtId="165" fontId="13" fillId="0" borderId="96" applyAlignment="1" pivotButton="0" quotePrefix="0" xfId="0">
      <alignment horizontal="right" vertical="center" wrapText="1"/>
    </xf>
    <xf numFmtId="165" fontId="13" fillId="0" borderId="96" applyAlignment="1" pivotButton="0" quotePrefix="0" xfId="0">
      <alignment horizontal="center" vertical="center" wrapText="1"/>
    </xf>
    <xf numFmtId="165" fontId="13" fillId="3" borderId="96" applyAlignment="1" pivotButton="0" quotePrefix="0" xfId="0">
      <alignment horizontal="right" vertical="center" wrapText="1"/>
    </xf>
    <xf numFmtId="165" fontId="13" fillId="3" borderId="96" applyAlignment="1" pivotButton="0" quotePrefix="0" xfId="0">
      <alignment vertical="center" wrapText="1"/>
    </xf>
    <xf numFmtId="165" fontId="13" fillId="2" borderId="96" applyAlignment="1" pivotButton="0" quotePrefix="0" xfId="0">
      <alignment vertical="center" wrapText="1"/>
    </xf>
    <xf numFmtId="165" fontId="13" fillId="2" borderId="96" applyAlignment="1" pivotButton="0" quotePrefix="0" xfId="0">
      <alignment horizontal="right" vertical="center" wrapText="1"/>
    </xf>
    <xf numFmtId="165" fontId="15" fillId="2" borderId="98" applyAlignment="1" pivotButton="0" quotePrefix="0" xfId="0">
      <alignment horizontal="right" vertical="center" wrapText="1"/>
    </xf>
    <xf numFmtId="165" fontId="15" fillId="0" borderId="98" applyAlignment="1" pivotButton="0" quotePrefix="0" xfId="0">
      <alignment vertical="center" wrapText="1"/>
    </xf>
    <xf numFmtId="165" fontId="13" fillId="2" borderId="97" applyAlignment="1" pivotButton="0" quotePrefix="0" xfId="0">
      <alignment horizontal="right" vertical="center" wrapText="1"/>
    </xf>
    <xf numFmtId="165" fontId="13" fillId="2" borderId="97" applyAlignment="1" pivotButton="0" quotePrefix="0" xfId="0">
      <alignment vertical="center" wrapText="1"/>
    </xf>
    <xf numFmtId="165" fontId="13" fillId="4" borderId="96" applyAlignment="1" pivotButton="0" quotePrefix="0" xfId="0">
      <alignment horizontal="right" vertical="center" wrapText="1"/>
    </xf>
    <xf numFmtId="165" fontId="13" fillId="4" borderId="96" applyAlignment="1" pivotButton="0" quotePrefix="0" xfId="0">
      <alignment vertical="center" wrapText="1"/>
    </xf>
    <xf numFmtId="165" fontId="13" fillId="2" borderId="0" applyAlignment="1" pivotButton="0" quotePrefix="0" xfId="0">
      <alignment wrapText="1"/>
    </xf>
    <xf numFmtId="166" fontId="13" fillId="0" borderId="0" applyAlignment="1" pivotButton="0" quotePrefix="0" xfId="0">
      <alignment wrapText="1"/>
    </xf>
    <xf numFmtId="165" fontId="13" fillId="3" borderId="97" applyAlignment="1" pivotButton="0" quotePrefix="0" xfId="0">
      <alignment horizontal="right" vertical="center" wrapText="1"/>
    </xf>
    <xf numFmtId="165" fontId="15" fillId="2" borderId="96" applyAlignment="1" pivotButton="0" quotePrefix="0" xfId="0">
      <alignment horizontal="right" vertical="center" wrapText="1"/>
    </xf>
    <xf numFmtId="165" fontId="15" fillId="2" borderId="96" applyAlignment="1" pivotButton="0" quotePrefix="0" xfId="0">
      <alignment vertical="center" wrapText="1"/>
    </xf>
    <xf numFmtId="165" fontId="13" fillId="2" borderId="104" applyAlignment="1" pivotButton="0" quotePrefix="0" xfId="0">
      <alignment horizontal="right" vertical="center" wrapText="1"/>
    </xf>
    <xf numFmtId="165" fontId="13" fillId="2" borderId="104" applyAlignment="1" pivotButton="0" quotePrefix="0" xfId="0">
      <alignment vertical="center" wrapText="1"/>
    </xf>
    <xf numFmtId="165" fontId="13" fillId="2" borderId="99" applyAlignment="1" pivotButton="0" quotePrefix="0" xfId="0">
      <alignment horizontal="right" vertical="center" wrapText="1"/>
    </xf>
    <xf numFmtId="165" fontId="13" fillId="2" borderId="99" applyAlignment="1" pivotButton="0" quotePrefix="0" xfId="0">
      <alignment vertical="center" wrapText="1"/>
    </xf>
    <xf numFmtId="166" fontId="19" fillId="0" borderId="0" applyAlignment="1" pivotButton="0" quotePrefix="0" xfId="0">
      <alignment wrapText="1"/>
    </xf>
    <xf numFmtId="167" fontId="13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2">
    <cellStyle name="Normal" xfId="0" builtinId="0"/>
    <cellStyle name="Hyperlink" xfId="1"/>
  </cellStyles>
  <dxfs count="68"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/>
        <right/>
        <top/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</font>
      <numFmt numFmtId="167" formatCode="[$$-240A]\ #,##0"/>
      <fill>
        <patternFill patternType="solid">
          <fgColor indexed="64"/>
          <bgColor theme="0"/>
        </patternFill>
      </fill>
      <alignment horizontal="general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64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8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" formatCode="0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numFmt numFmtId="167" formatCode="[$$-240A]\ #,##0"/>
      <fill>
        <patternFill patternType="solid">
          <fgColor indexed="64"/>
          <bgColor theme="0"/>
        </patternFill>
      </fill>
      <alignment horizontal="righ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numFmt numFmtId="164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Poppins"/>
        <sz val="9"/>
      </font>
      <fill>
        <patternFill patternType="solid">
          <fgColor indexed="64"/>
          <bgColor theme="0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entury Gothic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entury Gothic"/>
        <sz val="9"/>
      </font>
      <fill>
        <patternFill patternType="solid">
          <fgColor indexed="64"/>
          <bgColor theme="0"/>
        </patternFill>
      </fill>
      <alignment horizontal="general" vertical="bottom" wrapText="1"/>
    </dxf>
    <dxf>
      <font>
        <name val="Century Gothic"/>
        <i val="1"/>
        <strike val="0"/>
        <outline val="0"/>
        <shadow val="0"/>
        <condense val="0"/>
        <color theme="7"/>
        <extend val="0"/>
        <sz val="9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pivotSource>
    <name>[Plantilla_Tablero_Comercial_PRISA.xlsx]TABLAS DE DATA!TablaDinámica3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'TABLAS DE DATA'!$I$6</f>
              <strCache>
                <ptCount val="1"/>
                <pt idx="0">
                  <v>Suma de VENTA ESTIMADA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ALIANZAS</v>
                  </pt>
                  <pt idx="1">
                    <v>Felipe Guillen</v>
                  </pt>
                  <pt idx="2">
                    <v>Andrea Morales</v>
                  </pt>
                  <pt idx="3">
                    <v>Carolina Diaz</v>
                  </pt>
                  <pt idx="4">
                    <v>Jaidy Morales</v>
                  </pt>
                  <pt idx="5">
                    <v>Natalia Zambrano</v>
                  </pt>
                  <pt idx="6">
                    <v>Camilo Prada</v>
                  </pt>
                  <pt idx="7">
                    <v>Luisa Escobar</v>
                  </pt>
                  <pt idx="8">
                    <v>Lina Lemus</v>
                  </pt>
                  <pt idx="9">
                    <v xml:space="preserve">Laura Calvera </v>
                  </pt>
                  <pt idx="10">
                    <v>Diana Andrea Rodriguez</v>
                  </pt>
                  <pt idx="11">
                    <v>Helen Fajardo</v>
                  </pt>
                  <pt idx="12">
                    <v>Laura Melo</v>
                  </pt>
                  <pt idx="13">
                    <v>Diana Rodriguez</v>
                  </pt>
                  <pt idx="14">
                    <v>Diana Andrea Rodiguez</v>
                  </pt>
                  <pt idx="15">
                    <v>Karen Perez</v>
                  </pt>
                  <pt idx="16">
                    <v>Luis López</v>
                  </pt>
                  <pt idx="17">
                    <v>Karen Perez</v>
                  </pt>
                  <pt idx="18">
                    <v xml:space="preserve">Carol Beltan </v>
                  </pt>
                  <pt idx="19">
                    <v xml:space="preserve">Carol Beltan </v>
                  </pt>
                  <pt idx="20">
                    <v>Luz Karime Hernandez</v>
                  </pt>
                  <pt idx="21">
                    <v xml:space="preserve">Raul Herrera </v>
                  </pt>
                  <pt idx="22">
                    <v>Luz Karime Hernandez</v>
                  </pt>
                  <pt idx="23">
                    <v>PRODUCTOS GENERALES</v>
                  </pt>
                </lvl>
                <lvl>
                  <pt idx="0">
                    <v>En seguimiento</v>
                  </pt>
                  <pt idx="1">
                    <v>Cerrada</v>
                  </pt>
                  <pt idx="2">
                    <v>En seguimiento</v>
                  </pt>
                  <pt idx="6">
                    <v>En seguimiento</v>
                  </pt>
                  <pt idx="8">
                    <v>Por cerrar</v>
                  </pt>
                  <pt idx="9">
                    <v>Cerrada</v>
                  </pt>
                  <pt idx="10">
                    <v>En seguimiento</v>
                  </pt>
                  <pt idx="14">
                    <v>Por cerrar</v>
                  </pt>
                  <pt idx="15">
                    <v>Cerrada</v>
                  </pt>
                  <pt idx="17">
                    <v>En seguimiento</v>
                  </pt>
                  <pt idx="18">
                    <v>Cerrada</v>
                  </pt>
                  <pt idx="19">
                    <v>En seguimiento</v>
                  </pt>
                  <pt idx="22">
                    <v>Por cerrar</v>
                  </pt>
                  <pt idx="23">
                    <v>En seguimiento</v>
                  </pt>
                </lvl>
                <lvl>
                  <pt idx="0">
                    <v>ALIANZAS</v>
                  </pt>
                  <pt idx="1">
                    <v>N1</v>
                  </pt>
                  <pt idx="6">
                    <v>N2</v>
                  </pt>
                  <pt idx="9">
                    <v>N3</v>
                  </pt>
                  <pt idx="15">
                    <v>N4</v>
                  </pt>
                  <pt idx="18">
                    <v>N5</v>
                  </pt>
                  <pt idx="23">
                    <v>PRODUCTOS GENERALES</v>
                  </pt>
                </lvl>
              </multiLvlStrCache>
              <f>'TABLAS DE DATA'!$H$7:$H$52</f>
            </multiLvlStrRef>
          </cat>
          <val>
            <numRef>
              <f>'TABLAS DE DATA'!$I$7:$I$52</f>
              <numCache>
                <formatCode>"$"\ #,##0</formatCode>
                <ptCount val="24"/>
                <pt idx="0">
                  <v>20000000</v>
                </pt>
                <pt idx="1">
                  <v>15000000</v>
                </pt>
                <pt idx="2">
                  <v>50000000</v>
                </pt>
                <pt idx="3">
                  <v>110000000</v>
                </pt>
                <pt idx="4">
                  <v>40000000</v>
                </pt>
                <pt idx="5">
                  <v>30000000</v>
                </pt>
                <pt idx="6">
                  <v>42050587</v>
                </pt>
                <pt idx="7">
                  <v>29438585</v>
                </pt>
                <pt idx="8">
                  <v>70000000</v>
                </pt>
                <pt idx="9">
                  <v>5000000</v>
                </pt>
                <pt idx="10">
                  <v>30000000</v>
                </pt>
                <pt idx="11">
                  <v>40000000</v>
                </pt>
                <pt idx="12">
                  <v>15000000</v>
                </pt>
                <pt idx="13">
                  <v>40000000</v>
                </pt>
                <pt idx="14">
                  <v>50000000</v>
                </pt>
                <pt idx="15">
                  <v>23000000</v>
                </pt>
                <pt idx="16">
                  <v>100000000</v>
                </pt>
                <pt idx="17">
                  <v>45000000</v>
                </pt>
                <pt idx="18">
                  <v>20000000</v>
                </pt>
                <pt idx="19">
                  <v>138000000</v>
                </pt>
                <pt idx="20">
                  <v>45700000</v>
                </pt>
                <pt idx="21">
                  <v>35000000</v>
                </pt>
                <pt idx="22">
                  <v>48000000</v>
                </pt>
                <pt idx="23">
                  <v>220000000</v>
                </pt>
              </numCache>
            </numRef>
          </val>
        </ser>
        <ser>
          <idx val="1"/>
          <order val="1"/>
          <tx>
            <strRef>
              <f>'TABLAS DE DATA'!$J$6</f>
              <strCache>
                <ptCount val="1"/>
                <pt idx="0">
                  <v>Suma de VALOR DE LA PROPUESTA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multiLvlStrRef>
              <multiLvlStrCache>
                <lvl>
                  <pt idx="0">
                    <v>ALIANZAS</v>
                  </pt>
                  <pt idx="1">
                    <v>Felipe Guillen</v>
                  </pt>
                  <pt idx="2">
                    <v>Andrea Morales</v>
                  </pt>
                  <pt idx="3">
                    <v>Carolina Diaz</v>
                  </pt>
                  <pt idx="4">
                    <v>Jaidy Morales</v>
                  </pt>
                  <pt idx="5">
                    <v>Natalia Zambrano</v>
                  </pt>
                  <pt idx="6">
                    <v>Camilo Prada</v>
                  </pt>
                  <pt idx="7">
                    <v>Luisa Escobar</v>
                  </pt>
                  <pt idx="8">
                    <v>Lina Lemus</v>
                  </pt>
                  <pt idx="9">
                    <v xml:space="preserve">Laura Calvera </v>
                  </pt>
                  <pt idx="10">
                    <v>Diana Andrea Rodriguez</v>
                  </pt>
                  <pt idx="11">
                    <v>Helen Fajardo</v>
                  </pt>
                  <pt idx="12">
                    <v>Laura Melo</v>
                  </pt>
                  <pt idx="13">
                    <v>Diana Rodriguez</v>
                  </pt>
                  <pt idx="14">
                    <v>Diana Andrea Rodiguez</v>
                  </pt>
                  <pt idx="15">
                    <v>Karen Perez</v>
                  </pt>
                  <pt idx="16">
                    <v>Luis López</v>
                  </pt>
                  <pt idx="17">
                    <v>Karen Perez</v>
                  </pt>
                  <pt idx="18">
                    <v xml:space="preserve">Carol Beltan </v>
                  </pt>
                  <pt idx="19">
                    <v xml:space="preserve">Carol Beltan </v>
                  </pt>
                  <pt idx="20">
                    <v>Luz Karime Hernandez</v>
                  </pt>
                  <pt idx="21">
                    <v xml:space="preserve">Raul Herrera </v>
                  </pt>
                  <pt idx="22">
                    <v>Luz Karime Hernandez</v>
                  </pt>
                  <pt idx="23">
                    <v>PRODUCTOS GENERALES</v>
                  </pt>
                </lvl>
                <lvl>
                  <pt idx="0">
                    <v>En seguimiento</v>
                  </pt>
                  <pt idx="1">
                    <v>Cerrada</v>
                  </pt>
                  <pt idx="2">
                    <v>En seguimiento</v>
                  </pt>
                  <pt idx="6">
                    <v>En seguimiento</v>
                  </pt>
                  <pt idx="8">
                    <v>Por cerrar</v>
                  </pt>
                  <pt idx="9">
                    <v>Cerrada</v>
                  </pt>
                  <pt idx="10">
                    <v>En seguimiento</v>
                  </pt>
                  <pt idx="14">
                    <v>Por cerrar</v>
                  </pt>
                  <pt idx="15">
                    <v>Cerrada</v>
                  </pt>
                  <pt idx="17">
                    <v>En seguimiento</v>
                  </pt>
                  <pt idx="18">
                    <v>Cerrada</v>
                  </pt>
                  <pt idx="19">
                    <v>En seguimiento</v>
                  </pt>
                  <pt idx="22">
                    <v>Por cerrar</v>
                  </pt>
                  <pt idx="23">
                    <v>En seguimiento</v>
                  </pt>
                </lvl>
                <lvl>
                  <pt idx="0">
                    <v>ALIANZAS</v>
                  </pt>
                  <pt idx="1">
                    <v>N1</v>
                  </pt>
                  <pt idx="6">
                    <v>N2</v>
                  </pt>
                  <pt idx="9">
                    <v>N3</v>
                  </pt>
                  <pt idx="15">
                    <v>N4</v>
                  </pt>
                  <pt idx="18">
                    <v>N5</v>
                  </pt>
                  <pt idx="23">
                    <v>PRODUCTOS GENERALES</v>
                  </pt>
                </lvl>
              </multiLvlStrCache>
              <f>'TABLAS DE DATA'!$H$7:$H$52</f>
            </multiLvlStrRef>
          </cat>
          <val>
            <numRef>
              <f>'TABLAS DE DATA'!$J$7:$J$52</f>
              <numCache>
                <formatCode>"$"\ #,##0</formatCode>
                <ptCount val="24"/>
                <pt idx="0">
                  <v>20000000</v>
                </pt>
                <pt idx="1">
                  <v>17000000</v>
                </pt>
                <pt idx="2">
                  <v>76000000</v>
                </pt>
                <pt idx="3">
                  <v>117420000</v>
                </pt>
                <pt idx="4">
                  <v>42014863</v>
                </pt>
                <pt idx="5">
                  <v>32600000</v>
                </pt>
                <pt idx="6">
                  <v>60000000</v>
                </pt>
                <pt idx="7">
                  <v>84444200</v>
                </pt>
                <pt idx="8">
                  <v>70000000</v>
                </pt>
                <pt idx="9">
                  <v>5500000</v>
                </pt>
                <pt idx="10">
                  <v>30000000</v>
                </pt>
                <pt idx="11">
                  <v>46437280</v>
                </pt>
                <pt idx="12">
                  <v>16880000</v>
                </pt>
                <pt idx="13">
                  <v>40000000</v>
                </pt>
                <pt idx="14">
                  <v>50686060</v>
                </pt>
                <pt idx="15">
                  <v>23577700</v>
                </pt>
                <pt idx="16">
                  <v>100000000</v>
                </pt>
                <pt idx="17">
                  <v>38280000</v>
                </pt>
                <pt idx="18">
                  <v>18000000</v>
                </pt>
                <pt idx="19">
                  <v>158500000</v>
                </pt>
                <pt idx="20">
                  <v>24664200</v>
                </pt>
                <pt idx="21">
                  <v>39000000</v>
                </pt>
                <pt idx="22">
                  <v>48000000</v>
                </pt>
                <pt idx="23">
                  <v>220000000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74079120"/>
        <axId val="1471805024"/>
      </barChart>
      <catAx>
        <axId val="12740791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471805024"/>
        <crosses val="autoZero"/>
        <auto val="1"/>
        <lblAlgn val="ctr"/>
        <lblOffset val="100"/>
        <noMultiLvlLbl val="0"/>
      </catAx>
      <valAx>
        <axId val="147180502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\ 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27407912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609600</colOff>
      <row>28</row>
      <rowOff>152400</rowOff>
    </from>
    <ext cx="542925" cy="533400"/>
    <pic>
      <nvPicPr>
        <cNvPr id="2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43300" y="10125075"/>
          <a:ext cx="542925" cy="533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247650</colOff>
      <row>10</row>
      <rowOff>161925</rowOff>
    </from>
    <ext cx="466725" cy="542925"/>
    <pic>
      <nvPicPr>
        <cNvPr id="3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571500</colOff>
      <row>10</row>
      <rowOff>152400</rowOff>
    </from>
    <ext cx="466725" cy="542925"/>
    <pic>
      <nvPicPr>
        <cNvPr id="4" name="image6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371475</colOff>
      <row>10</row>
      <rowOff>180975</rowOff>
    </from>
    <ext cx="447675" cy="542925"/>
    <pic>
      <nvPicPr>
        <cNvPr id="5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200025</colOff>
      <row>12</row>
      <rowOff>161925</rowOff>
    </from>
    <ext cx="600075" cy="542925"/>
    <pic>
      <nvPicPr>
        <cNvPr id="6" name="image8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438150</colOff>
      <row>12</row>
      <rowOff>152400</rowOff>
    </from>
    <ext cx="609600" cy="542925"/>
    <pic>
      <nvPicPr>
        <cNvPr id="7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609600</colOff>
      <row>12</row>
      <rowOff>161925</rowOff>
    </from>
    <ext cx="457200" cy="542925"/>
    <pic>
      <nvPicPr>
        <cNvPr id="8" name="image12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219075</colOff>
      <row>30</row>
      <rowOff>133350</rowOff>
    </from>
    <ext cx="495300" cy="542925"/>
    <pic>
      <nvPicPr>
        <cNvPr id="9" name="image15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647700</colOff>
      <row>30</row>
      <rowOff>95250</rowOff>
    </from>
    <ext cx="495300" cy="542925"/>
    <pic>
      <nvPicPr>
        <cNvPr id="1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352425</colOff>
      <row>30</row>
      <rowOff>123825</rowOff>
    </from>
    <ext cx="476250" cy="542925"/>
    <pic>
      <nvPicPr>
        <cNvPr id="11" name="image11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23</col>
      <colOff>533400</colOff>
      <row>13</row>
      <rowOff>161925</rowOff>
    </from>
    <ext cx="447675" cy="542925"/>
    <pic>
      <nvPicPr>
        <cNvPr id="1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24</col>
      <colOff>276225</colOff>
      <row>13</row>
      <rowOff>104775</rowOff>
    </from>
    <ext cx="447675" cy="542925"/>
    <pic>
      <nvPicPr>
        <cNvPr id="13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22</col>
      <colOff>361950</colOff>
      <row>13</row>
      <rowOff>123825</rowOff>
    </from>
    <ext cx="447675" cy="542925"/>
    <pic>
      <nvPicPr>
        <cNvPr id="14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409575</colOff>
      <row>28</row>
      <rowOff>123825</rowOff>
    </from>
    <ext cx="523875" cy="533400"/>
    <pic>
      <nvPicPr>
        <cNvPr id="15" name="image7.png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85725</colOff>
      <row>28</row>
      <rowOff>190500</rowOff>
    </from>
    <ext cx="552450" cy="533400"/>
    <pic>
      <nvPicPr>
        <cNvPr id="16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4905375" y="10163175"/>
          <a:ext cx="552450" cy="533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twoCellAnchor>
    <from>
      <col>1</col>
      <colOff>1389529</colOff>
      <row>3</row>
      <rowOff>178173</rowOff>
    </from>
    <to>
      <col>6</col>
      <colOff>3765175</colOff>
      <row>28</row>
      <rowOff>119529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an Pablo Godoy Calderon" refreshedDate="46226.63478831018" createdVersion="8" refreshedVersion="8" minRefreshableVersion="3" recordCount="133" r:id="rId1">
  <cacheSource type="worksheet">
    <worksheetSource name="tbl_BasePowerBI[[EQUIPO]:[VALOR DE LA PROPUESTA]]"/>
  </cacheSource>
  <cacheFields count="25">
    <cacheField name="EQUIPO" uniqueList="1" numFmtId="0" sqlType="0" hierarchy="0" level="0" databaseField="1">
      <sharedItems count="8">
        <s v="ALIANZAS"/>
        <s v="PRODUCTOS GENERALES"/>
        <s v="N1"/>
        <s v="N2"/>
        <s v="N3"/>
        <s v="N4"/>
        <s v="N5"/>
        <s v="GENERAL" u="1"/>
      </sharedItems>
    </cacheField>
    <cacheField name="NOMBRE EJECUTIVO" uniqueList="1" numFmtId="0" sqlType="0" hierarchy="0" level="0" databaseField="1">
      <sharedItems count="37">
        <s v="ALIANZAS"/>
        <s v="PRODUCTOS GENERALES"/>
        <s v="Jaidy Morales"/>
        <s v="Diana Contreras Rodriguez"/>
        <s v="Rosa Diaz"/>
        <s v="Felipe Guillen"/>
        <s v="Carolina Diaz"/>
        <s v="Andrea Morales"/>
        <s v="Natalia Zambrano"/>
        <s v="Camilo Prada"/>
        <s v="Luisa Escobar"/>
        <s v="Lina Lemus"/>
        <s v="Helen Fajardo"/>
        <s v="Hugo Urrea"/>
        <s v="Sofia Calvera"/>
        <s v="Elsa Cortez"/>
        <s v="Laura Melo"/>
        <s v="Diana Andrea Rodiguez"/>
        <s v="Diana Andrea Rodriguez"/>
        <s v="Laura Calvera "/>
        <s v="Diana Rodriguez"/>
        <s v="Nicole Hincapie"/>
        <s v="Gina Tinjacá"/>
        <s v="Karen Perez"/>
        <s v="Valentina Párraga"/>
        <s v="Mauricio Agudelo"/>
        <s v="Luis López"/>
        <s v="Luz Karime Hernandez"/>
        <s v="Ana Maria Castañeda"/>
        <s v="Carol Beltan "/>
        <s v="Raul Herrera "/>
        <s v="GENERAL" u="1"/>
        <s v="Andres Guillem" u="1"/>
        <s v="Carolina Diaz " u="1"/>
        <s v="TATIANA PELAEZ" u="1"/>
        <s v="Ivonne Moriones " u="1"/>
        <s v="WILLIAM OCAMPO" u="1"/>
      </sharedItems>
    </cacheField>
    <cacheField name="CUENTA" uniqueList="1" numFmtId="0" sqlType="0" hierarchy="0" level="0" databaseField="1">
      <sharedItems count="0"/>
    </cacheField>
    <cacheField name="VENTA ESTIMADA" uniqueList="1" numFmtId="164" sqlType="0" hierarchy="0" level="0" databaseField="1">
      <sharedItems count="0" containsInteger="1" containsMixedTypes="1" containsNumber="1" minValue="0" maxValue="100000000"/>
    </cacheField>
    <cacheField name="NECESIDAD 1" uniqueList="1" numFmtId="0" sqlType="0" hierarchy="0" level="0" databaseField="1">
      <sharedItems count="0" containsBlank="1"/>
    </cacheField>
    <cacheField name="NECESIDAD 2" uniqueList="1" numFmtId="0" sqlType="0" hierarchy="0" level="0" databaseField="1">
      <sharedItems count="0" containsBlank="1" containsNonDate="0" containsString="0"/>
    </cacheField>
    <cacheField name="NECESIDAD 3" uniqueList="1" numFmtId="0" sqlType="0" hierarchy="0" level="0" databaseField="1">
      <sharedItems count="0" containsBlank="1" containsNonDate="0" containsString="0"/>
    </cacheField>
    <cacheField name="PLAN DE ACCIÓN 1" uniqueList="1" numFmtId="0" sqlType="0" hierarchy="0" level="0" databaseField="1">
      <sharedItems count="0"/>
    </cacheField>
    <cacheField name="AVANCE PLAN 1" uniqueList="1" numFmtId="0" sqlType="0" hierarchy="0" level="0" databaseField="1">
      <sharedItems count="0" containsBlank="1" containsInteger="1" containsNumber="1" containsString="0" minValue="0" maxValue="100"/>
    </cacheField>
    <cacheField name="PLAN DE ACCIÓN 2" uniqueList="1" numFmtId="0" sqlType="0" hierarchy="0" level="0" databaseField="1">
      <sharedItems count="0" containsBlank="1"/>
    </cacheField>
    <cacheField name="AVANCE PLAN 2" uniqueList="1" numFmtId="1" sqlType="0" hierarchy="0" level="0" databaseField="1">
      <sharedItems count="0" containsBlank="1" containsInteger="1" containsNumber="1" containsString="0" minValue="0" maxValue="100"/>
    </cacheField>
    <cacheField name="PLAN DE ACCIÓN 3" uniqueList="1" numFmtId="0" sqlType="0" hierarchy="0" level="0" databaseField="1">
      <sharedItems count="0" containsBlank="1"/>
    </cacheField>
    <cacheField name="AVANCE PLAN 3" uniqueList="1" numFmtId="1" sqlType="0" hierarchy="0" level="0" databaseField="1">
      <sharedItems count="0" containsBlank="1" containsInteger="1" containsNumber="1" containsString="0" minValue="0" maxValue="100"/>
    </cacheField>
    <cacheField name="OPORTUNIDAD" uniqueList="1" numFmtId="0" sqlType="0" hierarchy="0" level="0" databaseField="1">
      <sharedItems count="0" containsBlank="1"/>
    </cacheField>
    <cacheField name="ESTADO" uniqueList="1" numFmtId="0" sqlType="0" hierarchy="0" level="0" databaseField="1">
      <sharedItems count="4">
        <s v="En seguimiento"/>
        <s v="Por Mejorar"/>
        <s v="Cerrada"/>
        <s v="Por cerrar"/>
      </sharedItems>
    </cacheField>
    <cacheField name="CLAVE" uniqueList="1" numFmtId="0" sqlType="0" hierarchy="0" level="0" databaseField="1">
      <sharedItems count="0"/>
    </cacheField>
    <cacheField name="PRIORIDAD" uniqueList="1" numFmtId="0" sqlType="0" hierarchy="0" level="0" databaseField="1">
      <sharedItems count="0" containsBlank="1"/>
    </cacheField>
    <cacheField name="RESULTADO ESPERADO" uniqueList="1" numFmtId="0" sqlType="0" hierarchy="0" level="0" databaseField="1">
      <sharedItems count="0" containsBlank="1"/>
    </cacheField>
    <cacheField name="RESPONSABLE" uniqueList="1" numFmtId="0" sqlType="0" hierarchy="0" level="0" databaseField="1">
      <sharedItems count="0"/>
    </cacheField>
    <cacheField name="MES" uniqueList="1" numFmtId="0" sqlType="0" hierarchy="0" level="0" databaseField="1">
      <sharedItems count="0" containsBlank="1"/>
    </cacheField>
    <cacheField name="DIA" uniqueList="1" numFmtId="1" sqlType="0" hierarchy="0" level="0" databaseField="1">
      <sharedItems count="0" containsBlank="1" containsNonDate="0" containsString="0"/>
    </cacheField>
    <cacheField name="FECHA SOLICITUD" uniqueList="1" numFmtId="14" sqlType="0" hierarchy="0" level="0" databaseField="1">
      <sharedItems count="0" containsBlank="1" containsDate="1" containsNonDate="0" containsString="0" minDate="2026-05-26T00:00:00" maxDate="2026-07-18T00:00:00"/>
    </cacheField>
    <cacheField name="FECHA DE ENTREGA" uniqueList="1" numFmtId="14" sqlType="0" hierarchy="0" level="0" databaseField="1">
      <sharedItems count="0" containsBlank="1" containsDate="1" containsNonDate="0" containsString="0" minDate="2026-06-01T00:00:00" maxDate="2026-07-23T00:00:00"/>
    </cacheField>
    <cacheField name="LINK DE PRESENTACION" uniqueList="1" numFmtId="0" sqlType="0" hierarchy="0" level="0" databaseField="1">
      <sharedItems count="0" containsBlank="1"/>
    </cacheField>
    <cacheField name="VALOR DE LA PROPUESTA" uniqueList="1" numFmtId="0" sqlType="0" hierarchy="0" level="0" databaseField="1">
      <sharedItems count="0" containsInteger="1" containsNumber="1" containsSemiMixedTypes="0" containsString="0" minValue="0" maxValue="100000000"/>
    </cacheField>
  </cacheFields>
</pivotCacheDefinition>
</file>

<file path=xl/pivotCache/pivotCacheRecords1.xml><?xml version="1.0" encoding="utf-8"?>
<pivotCacheRecords xmlns="http://schemas.openxmlformats.org/spreadsheetml/2006/main" count="133">
  <r>
    <x v="0"/>
    <x v="0"/>
    <s v="DISQUERAS - TIQUETERAS"/>
    <n v="10000000"/>
    <s v="PROPUESTA DIGITAL PARA DISQUERAS, EVENTOS Y TIQUETERAS"/>
    <m/>
    <m/>
    <s v="GENERAR PROPUESTA COMERCIAL"/>
    <n v="100"/>
    <s v="ENTREGAR PROPUESTA"/>
    <n v="100"/>
    <s v="SIN CAMBIOS"/>
    <n v="100"/>
    <m/>
    <x v="0"/>
    <s v="ALIANZAS|En seguimiento"/>
    <s v="Media"/>
    <m/>
    <s v="ALIANZAS"/>
    <s v="JUNIO"/>
    <m/>
    <d v="2026-06-03T00:00:00"/>
    <d v="2026-06-03T00:00:00"/>
    <s v="PRODUCTO DIGITAL-FRANQUICIAS-MÚSICA EN MOVIMIENTO.pptx"/>
    <n v="10000000"/>
  </r>
  <r>
    <x v="0"/>
    <x v="0"/>
    <s v="FRANQUICIAS "/>
    <n v="10000000"/>
    <s v="PROPUESTA DE FRANQUICIAS PARA EVENTOS "/>
    <m/>
    <m/>
    <s v="GENERAR PROPUESTA COMERCIAL"/>
    <n v="100"/>
    <s v="ENTREGAR PROPUESTA"/>
    <n v="100"/>
    <s v="SIN CAMBIOS"/>
    <n v="100"/>
    <m/>
    <x v="0"/>
    <s v="ALIANZAS|En seguimiento"/>
    <s v="Media"/>
    <m/>
    <s v="ALIANZAS"/>
    <s v="JUNIO"/>
    <m/>
    <d v="2026-06-03T00:00:00"/>
    <d v="2026-06-03T00:00:00"/>
    <s v="PRODUCTO DIGITAL-DEL PLAY AL SHOW.pptx"/>
    <n v="10000000"/>
  </r>
  <r>
    <x v="1"/>
    <x v="1"/>
    <s v="FRANQUICIAS "/>
    <n v="20000000"/>
    <s v="PROPUESTA DE FRANQUICIAS POR RUBROS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FRANQUICIAS PRISA.pptx"/>
    <n v="20000000"/>
  </r>
  <r>
    <x v="1"/>
    <x v="1"/>
    <s v="FRANQUICIAS "/>
    <n v="20000000"/>
    <s v="PROPUESTA DE FRANQUICIAS POR PAQUETES 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Producto_Digital_FRANQUICIAS PRISA 2026.pptx"/>
    <n v="20000000"/>
  </r>
  <r>
    <x v="1"/>
    <x v="1"/>
    <s v="ELECCIONES 2026"/>
    <n v="20000000"/>
    <s v="PROPUESTA ELECCIONES 2026"/>
    <m/>
    <m/>
    <s v="GENERAR PROPUESTA COMERCIAL"/>
    <n v="100"/>
    <s v="ENTREGAR PROPUESTA"/>
    <n v="100"/>
    <s v="SIN CAMBIOS "/>
    <n v="100"/>
    <m/>
    <x v="0"/>
    <s v="PRODUCTOS GENERALES|En seguimiento"/>
    <s v="Media"/>
    <m/>
    <s v="PRODUCTOS GENERALES"/>
    <s v="JUNIO"/>
    <m/>
    <d v="2026-06-01T00:00:00"/>
    <d v="2026-06-01T00:00:00"/>
    <s v="PRODUCTO DIGITAL-ELECCIONES 2026.pptx"/>
    <n v="20000000"/>
  </r>
  <r>
    <x v="1"/>
    <x v="1"/>
    <s v="PRODUCTOS GENERALES"/>
    <n v="20000000"/>
    <s v="PROPUESTA DIGITAL LA RUTA DEL GOL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 DIGITAL-LA RUTA DEL GOL.pptx"/>
    <n v="20000000"/>
  </r>
  <r>
    <x v="1"/>
    <x v="1"/>
    <s v="PRODUCTOS GENERALES"/>
    <n v="20000000"/>
    <s v="PROPUESTA DE FRANQUICIAS MUNDIAL 2026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FRANQUICIA MUNDIALISTA.pptx"/>
    <n v="20000000"/>
  </r>
  <r>
    <x v="1"/>
    <x v="1"/>
    <s v="PRODUCTOS GENERALES"/>
    <n v="20000000"/>
    <s v="PROPUESTA DIGITAL BEAUTY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Universo Beauty.pptx"/>
    <n v="20000000"/>
  </r>
  <r>
    <x v="1"/>
    <x v="1"/>
    <s v="PRODUCTOS GENERALES"/>
    <n v="20000000"/>
    <s v="PROPUESTA DIGITAL CONSTRUCTORAS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LIVING EXPERIENCE.pptx"/>
    <n v="20000000"/>
  </r>
  <r>
    <x v="1"/>
    <x v="1"/>
    <s v="PRODUCTOS GENERALES"/>
    <n v="20000000"/>
    <s v="PROPUESTA DIGITAL SHOPPABLE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m/>
    <n v="20000000"/>
  </r>
  <r>
    <x v="1"/>
    <x v="1"/>
    <s v="PRODUCTOS GENERALES"/>
    <n v="20000000"/>
    <s v="PROPUESTA  DIGITAL TECNOLOGIA DNS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s v="Producto_Digital_RADIO INTERACTIVO.pptx"/>
    <n v="20000000"/>
  </r>
  <r>
    <x v="1"/>
    <x v="1"/>
    <s v="PRODUCTOS GENERALES"/>
    <n v="20000000"/>
    <s v="DESARROLO DE AGENTE DE IA"/>
    <m/>
    <m/>
    <s v="GENERAR PROPUESTA COMERCIAL"/>
    <n v="100"/>
    <s v="ENTREGAR PROPUESTA"/>
    <n v="100"/>
    <s v="SIN CAMBIOS"/>
    <n v="100"/>
    <m/>
    <x v="0"/>
    <s v="PRODUCTOS GENERALES|En seguimiento"/>
    <s v="Media"/>
    <m/>
    <s v="PRODUCTOS GENERALES"/>
    <s v="JUNIO"/>
    <m/>
    <d v="2026-06-01T00:00:00"/>
    <d v="2026-06-01T00:00:00"/>
    <m/>
    <n v="20000000"/>
  </r>
  <r>
    <x v="1"/>
    <x v="1"/>
    <s v="CONEXIÓN PRISA"/>
    <n v="20000000"/>
    <s v="CONEXIÓN PRISA_x000a_Una dinámica comercial que presenta productos digitales exclusivos para cada rubro, impulsando oportunidades de negocio en tiempo real."/>
    <m/>
    <m/>
    <s v="Entregar la propuesta digital al area comercial"/>
    <n v="100"/>
    <s v="Seguimiento – Evento 22 de julio"/>
    <n v="50"/>
    <m/>
    <m/>
    <m/>
    <x v="0"/>
    <s v="PRODUCTOS GENERALES|En seguimiento"/>
    <s v="Alta"/>
    <m/>
    <s v="PRODUCTOS GENERALES"/>
    <s v="JULIO"/>
    <m/>
    <d v="2026-07-06T00:00:00"/>
    <d v="2026-07-06T00:00:00"/>
    <s v="Producto_Digital-CONEXIÓN PRISA.pptx"/>
    <n v="20000000"/>
  </r>
  <r>
    <x v="2"/>
    <x v="2"/>
    <s v="MANTEQUILLA LA BUENA"/>
    <n v="40000000"/>
    <s v="PROPUESTA CAPSULAS FRANQUICIAS "/>
    <m/>
    <m/>
    <s v="GENERAR PROPUESTA COMERCIAL"/>
    <n v="100"/>
    <s v="ENTREGAR PROPUESTA"/>
    <n v="100"/>
    <s v="SIN CAMBIOS"/>
    <n v="100"/>
    <m/>
    <x v="0"/>
    <s v="N1|En seguimiento"/>
    <s v="Media"/>
    <m/>
    <s v="Jaidy Morales"/>
    <s v="JUNIO"/>
    <m/>
    <d v="2026-06-22T00:00:00"/>
    <d v="2026-07-22T00:00:00"/>
    <s v="PRODUCTO DIGITAL - LA BUENA.pptx"/>
    <n v="42014863"/>
  </r>
  <r>
    <x v="2"/>
    <x v="3"/>
    <s v="yale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4"/>
    <s v="cafam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koala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nissan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4"/>
    <s v="porche"/>
    <n v="0"/>
    <s v="DESARROLO DE PROPUESTA DIGITAL"/>
    <m/>
    <m/>
    <s v="GENERAR PROPUESTA COMERCIAL"/>
    <m/>
    <m/>
    <m/>
    <m/>
    <m/>
    <m/>
    <x v="1"/>
    <s v="N1|Por Mejorar"/>
    <s v="Alta"/>
    <m/>
    <s v="Rosa Diaz"/>
    <m/>
    <m/>
    <m/>
    <m/>
    <m/>
    <n v="0"/>
  </r>
  <r>
    <x v="2"/>
    <x v="5"/>
    <s v="samsung"/>
    <n v="0"/>
    <s v="DESARROLO DE PROPUESTA DIGITAL"/>
    <m/>
    <m/>
    <s v="GENERAR PROPUESTA COMERCIAL"/>
    <m/>
    <m/>
    <m/>
    <m/>
    <m/>
    <m/>
    <x v="1"/>
    <s v="N1|Por Mejorar"/>
    <s v="Alta"/>
    <m/>
    <s v="Felipe Guillen"/>
    <m/>
    <m/>
    <m/>
    <m/>
    <m/>
    <n v="0"/>
  </r>
  <r>
    <x v="2"/>
    <x v="3"/>
    <s v="plexi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5"/>
    <s v="primax"/>
    <n v="0"/>
    <s v="DESARROLO DE PROPUESTA DIGITAL"/>
    <m/>
    <m/>
    <s v="GENERAR PROPUESTA COMERCIAL"/>
    <m/>
    <m/>
    <m/>
    <m/>
    <m/>
    <m/>
    <x v="1"/>
    <s v="N1|Por Mejorar"/>
    <s v="Alta"/>
    <m/>
    <s v="Felipe Guillen"/>
    <m/>
    <m/>
    <m/>
    <m/>
    <m/>
    <n v="0"/>
  </r>
  <r>
    <x v="2"/>
    <x v="6"/>
    <s v="colsanitas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prosegur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kellogs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6"/>
    <s v="ajinomot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3"/>
    <s v="knorr "/>
    <n v="0"/>
    <s v="DESARROLO DE PROPUESTA DIGITAL"/>
    <m/>
    <m/>
    <s v="GENERAR PROPUESTA COMERCIAL"/>
    <m/>
    <m/>
    <m/>
    <m/>
    <m/>
    <m/>
    <x v="1"/>
    <s v="N1|Por Mejorar"/>
    <s v="Alta"/>
    <m/>
    <s v="Diana Contreras Rodriguez"/>
    <m/>
    <m/>
    <m/>
    <m/>
    <m/>
    <n v="0"/>
  </r>
  <r>
    <x v="2"/>
    <x v="6"/>
    <s v="supermercado makro"/>
    <n v="0"/>
    <s v="DESARROLO DE PROPUESTA DIGITAL"/>
    <m/>
    <m/>
    <s v="GENERAR PROPUESTA COMERCIAL"/>
    <m/>
    <m/>
    <m/>
    <m/>
    <m/>
    <m/>
    <x v="1"/>
    <s v="N1|Por Mejorar"/>
    <s v="Alta"/>
    <m/>
    <s v="Carolina Diaz"/>
    <m/>
    <m/>
    <m/>
    <m/>
    <m/>
    <n v="0"/>
  </r>
  <r>
    <x v="2"/>
    <x v="7"/>
    <s v="casa luker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alqueria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volvo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7"/>
    <s v="caja social"/>
    <n v="0"/>
    <s v="DESARROLO DE PROPUESTA DIGITAL"/>
    <m/>
    <m/>
    <s v="GENERAR PROPUESTA COMERCIAL"/>
    <m/>
    <m/>
    <m/>
    <m/>
    <m/>
    <m/>
    <x v="1"/>
    <s v="N1|Por Mejorar"/>
    <s v="Alta"/>
    <m/>
    <s v="Andrea Morales"/>
    <m/>
    <m/>
    <m/>
    <m/>
    <m/>
    <n v="0"/>
  </r>
  <r>
    <x v="2"/>
    <x v="8"/>
    <s v="ramo"/>
    <n v="0"/>
    <s v="DESARROLO DE PROPUESTA DIGITAL"/>
    <m/>
    <m/>
    <s v="GENERAR PROPUESTA COMERCIAL"/>
    <m/>
    <m/>
    <m/>
    <m/>
    <m/>
    <m/>
    <x v="1"/>
    <s v="N1|Por Mejorar"/>
    <s v="Alta"/>
    <m/>
    <s v="Natalia Zambrano"/>
    <m/>
    <m/>
    <m/>
    <m/>
    <m/>
    <n v="0"/>
  </r>
  <r>
    <x v="2"/>
    <x v="8"/>
    <s v="spotify"/>
    <n v="0"/>
    <s v="DESARROLO DE PROPUESTA DIGITAL"/>
    <m/>
    <m/>
    <s v="GENERAR PROPUESTA COMERCIAL"/>
    <m/>
    <m/>
    <m/>
    <m/>
    <m/>
    <m/>
    <x v="1"/>
    <s v="N1|Por Mejorar"/>
    <s v="Alta"/>
    <m/>
    <s v="Natalia Zambrano"/>
    <m/>
    <m/>
    <m/>
    <m/>
    <m/>
    <n v="0"/>
  </r>
  <r>
    <x v="2"/>
    <x v="5"/>
    <s v="Don Julio"/>
    <n v="15000000"/>
    <s v="Ruta del gol"/>
    <m/>
    <m/>
    <s v="se paso la propuesta ruta del gol"/>
    <n v="100"/>
    <s v="acaptaron la propuesta"/>
    <n v="100"/>
    <s v="La propuesta fue aprobada por el cliente. Actualmente nos encontramos a la espera de su ejecución."/>
    <n v="100"/>
    <m/>
    <x v="2"/>
    <s v="N1|Cerrada"/>
    <m/>
    <m/>
    <s v="Felipe Guillen"/>
    <s v="JUNIO"/>
    <m/>
    <d v="2026-06-25T00:00:00"/>
    <d v="2026-06-25T00:00:00"/>
    <s v="PRODUCTO DIGITAL-LA RUTA DEL GOL.pptx"/>
    <n v="17000000"/>
  </r>
  <r>
    <x v="2"/>
    <x v="7"/>
    <s v="Arturo Calle "/>
    <n v="50000000"/>
    <s v="DESARROLO DE PROPUESTA DIGITAL"/>
    <m/>
    <m/>
    <s v="Entregar la propuesta digital y su valorización al ejecutivo correspondiente."/>
    <n v="100"/>
    <s v="En Proceso"/>
    <n v="50"/>
    <m/>
    <m/>
    <m/>
    <x v="0"/>
    <s v="N1|En seguimiento"/>
    <s v="Alta"/>
    <m/>
    <s v="Andrea Morales"/>
    <s v="JULIO"/>
    <m/>
    <d v="2026-07-02T00:00:00"/>
    <d v="2026-07-02T00:00:00"/>
    <s v="EL TOUR DEL ESTILO.pptx"/>
    <n v="76000000"/>
  </r>
  <r>
    <x v="2"/>
    <x v="6"/>
    <s v="ADIDAS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09T00:00:00"/>
    <d v="2026-07-09T00:00:00"/>
    <s v="PROPUESTA ADIDAS.pptx"/>
    <n v="39000000"/>
  </r>
  <r>
    <x v="2"/>
    <x v="6"/>
    <s v="HONOR"/>
    <n v="4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09T00:00:00"/>
    <d v="2026-07-09T00:00:00"/>
    <s v="PROPUESTA COMERCIAL HONOR.pptx"/>
    <n v="39420000"/>
  </r>
  <r>
    <x v="2"/>
    <x v="6"/>
    <s v="NIKE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Carolina Diaz"/>
    <s v="JULIO"/>
    <m/>
    <d v="2026-07-10T00:00:00"/>
    <d v="2026-07-10T00:00:00"/>
    <s v="PROPUESTA NIKE.pptx"/>
    <n v="39000000"/>
  </r>
  <r>
    <x v="2"/>
    <x v="8"/>
    <s v="AMAZON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m/>
    <s v="Natalia Zambrano"/>
    <s v="JULIO"/>
    <m/>
    <d v="2026-07-10T00:00:00"/>
    <d v="2026-07-10T00:00:00"/>
    <s v="PROPUESTA AMAZON ECOMMERCE.pptx"/>
    <n v="32600000"/>
  </r>
  <r>
    <x v="3"/>
    <x v="9"/>
    <s v="COLFONDOS S.A. PENSIONES Y CESANTIAS"/>
    <s v="$ 92.198.334,00 "/>
    <s v="Tiene un decrecimiento en su participación del mercado de 91%.  Y dejarón de invertir en la radio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25"/>
    <s v="En seguimiento"/>
    <x v="0"/>
    <s v="N2|En seguimiento"/>
    <s v="Media"/>
    <m/>
    <s v="Camilo Prada"/>
    <s v="JUNIO"/>
    <m/>
    <d v="2026-06-04T00:00:00"/>
    <d v="2026-06-23T00:00:00"/>
    <s v="PRODUCTO DIGITAL - COLFONDOS.pptx"/>
    <n v="30000000"/>
  </r>
  <r>
    <x v="3"/>
    <x v="9"/>
    <s v="BIOCOMBUSTIBLES S.A."/>
    <n v="42050587"/>
    <s v="Tiene un cremiento en su participación del mercado de 77%. Radio tiene un crecimiento del 25%. Pero Prisa Media pierde la participación frente a RCN y Radio Polis."/>
    <m/>
    <m/>
    <s v="GENERAR PROPUESTA COMERCIAL"/>
    <n v="100"/>
    <s v="Entregar la propuesta digital y su valorización al ejecutivo correspondiente."/>
    <n v="100"/>
    <s v="Con base en la retroalimentación del cliente, se ajusta la propuesta para la campaña específica y se entrega la versión final para su validación."/>
    <n v="100"/>
    <m/>
    <x v="0"/>
    <s v="N2|En seguimiento"/>
    <s v="Media"/>
    <m/>
    <s v="Camilo Prada"/>
    <s v="JUNIO"/>
    <m/>
    <d v="2026-06-23T00:00:00"/>
    <d v="2026-07-03T00:00:00"/>
    <s v="Producto_Digital-EL MUNDIAL SE JUEGA CON BIOMAX.pptx"/>
    <n v="30000000"/>
  </r>
  <r>
    <x v="3"/>
    <x v="9"/>
    <s v="BEIJING XIAOMI MOBILE SOFTWARE CO LTD"/>
    <n v="24015738"/>
    <s v="Tiene un decrecimiento en su participación dell mercado de 82%.  Y dejarón de invertir en la radio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9"/>
    <s v="FEDERACION NACIONAL DE CULTIVADORES DE PALMA DE ACEITE"/>
    <n v="0"/>
    <s v="Tiene un crecimiento en su participación del mercado de 132%. Pero no tiene participación en la Radio.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9"/>
    <s v="LABORATORIOS BUSSIE SA"/>
    <n v="0"/>
    <s v="Tienen un decrecimiento en su participación dell mercado de 69%.  Y tiene toda su participación en Diarios."/>
    <m/>
    <m/>
    <s v="GENERAR PROPUESTA COMERCIAL"/>
    <n v="0"/>
    <m/>
    <n v="0"/>
    <m/>
    <n v="0"/>
    <m/>
    <x v="1"/>
    <s v="N2|Por Mejorar"/>
    <s v="Alta"/>
    <m/>
    <s v="Camilo Prada"/>
    <m/>
    <m/>
    <m/>
    <m/>
    <m/>
    <n v="0"/>
  </r>
  <r>
    <x v="3"/>
    <x v="10"/>
    <s v="DISTRIBUIDORA TOYOTA S.A.S."/>
    <n v="28067985"/>
    <s v="Tiene un decrecimiento en su participación del mercado de 32%. Tienen el 61% de participación en la Radio, y Prisa Media  perdio participación en el medio radial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 "/>
    <n v="100"/>
    <m/>
    <x v="0"/>
    <s v="N2|En seguimiento"/>
    <s v="Media"/>
    <m/>
    <s v="Luisa Escobar"/>
    <s v="JUNIO"/>
    <m/>
    <d v="2026-06-04T00:00:00"/>
    <d v="2026-06-24T00:00:00"/>
    <s v="PRODUCTO DIGITAL DISTOYOTA.pptx"/>
    <n v="54244200"/>
  </r>
  <r>
    <x v="3"/>
    <x v="10"/>
    <s v="BRECCIA SALUD S A S"/>
    <n v="1370600"/>
    <s v="Tiene un decrecimiento en la participación del mercado de 25%. Tiene el 37% de participaón en la Radio, Prisa Media tiene el 6% perdiendo participación con RCN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0"/>
    <s v="N2|En seguimiento"/>
    <s v="Media"/>
    <m/>
    <s v="Luisa Escobar"/>
    <s v="JUNIO"/>
    <m/>
    <d v="2026-06-04T00:00:00"/>
    <d v="2026-06-25T00:00:00"/>
    <s v="Producto_Digital_EN EQUILIBRIO.pptx"/>
    <n v="30200000"/>
  </r>
  <r>
    <x v="3"/>
    <x v="10"/>
    <s v="GRUPO EMPRESARIAL OIKOS S.A.S."/>
    <n v="0"/>
    <s v="Tiene un crecimeinto en la participación del mercado de 300%.  Y tiene su participación en los medios Digital y Vias Publicas."/>
    <m/>
    <m/>
    <s v="GENERAR PROPUESTA COMERCIAL"/>
    <n v="0"/>
    <m/>
    <n v="0"/>
    <m/>
    <n v="0"/>
    <m/>
    <x v="1"/>
    <s v="N2|Por Mejorar"/>
    <s v="Alta"/>
    <m/>
    <s v="Luisa Escobar"/>
    <m/>
    <m/>
    <m/>
    <m/>
    <m/>
    <n v="0"/>
  </r>
  <r>
    <x v="3"/>
    <x v="11"/>
    <s v="GRUPO EMPRESARIAL EN LINEA S.A."/>
    <n v="17507282"/>
    <s v="Tiene un decrecimiento en su participación del mercado de 59%. Y la Radio tiene un participación del 10%, Prisa Media tiene el 30% de la participación en l aradio. Perdiendo participación frente a Oro."/>
    <m/>
    <m/>
    <s v="GENERAR PROPUESTA COMERCIAL"/>
    <n v="0"/>
    <m/>
    <n v="0"/>
    <m/>
    <n v="0"/>
    <m/>
    <x v="1"/>
    <s v="N2|Por Mejorar"/>
    <s v="Alta"/>
    <m/>
    <s v="Lina Lemus"/>
    <m/>
    <m/>
    <m/>
    <m/>
    <m/>
    <n v="0"/>
  </r>
  <r>
    <x v="3"/>
    <x v="11"/>
    <s v="OPELLA HEALTHCARE COLOMBIA S.A.S."/>
    <n v="86896644"/>
    <s v="Tiene un decrecimiento en la participación del mercado de 75%, La radio tiene una participación del 2%, Y Prisa Media tiene el 88% de la participación en la Radio."/>
    <m/>
    <m/>
    <s v="GENERAR PROPUESTA COMERCIAL"/>
    <n v="0"/>
    <m/>
    <n v="0"/>
    <m/>
    <n v="0"/>
    <m/>
    <x v="1"/>
    <s v="N2|Por Mejorar"/>
    <s v="Alta"/>
    <m/>
    <s v="Lina Lemus"/>
    <m/>
    <m/>
    <m/>
    <m/>
    <m/>
    <n v="0"/>
  </r>
  <r>
    <x v="3"/>
    <x v="11"/>
    <s v="MERCADO LIBRE"/>
    <n v="30000000"/>
    <s v="PROPUESTA DIGITAL DINAMICA CAJA  SORPRESA + PUNTOS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3"/>
    <s v="N2|Por cerrar"/>
    <s v="Media"/>
    <m/>
    <s v="Lina Lemus"/>
    <s v="JUNIO"/>
    <m/>
    <d v="2026-06-04T00:00:00"/>
    <d v="2026-06-08T00:00:00"/>
    <s v="Producto_Digital_MERCADO LIBRE LIVE COMMERCE.pptx"/>
    <n v="30000000"/>
  </r>
  <r>
    <x v="3"/>
    <x v="10"/>
    <s v="cencosud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0"/>
    <s v="jumbo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1"/>
    <s v="vanti"/>
    <n v="0"/>
    <m/>
    <m/>
    <m/>
    <s v="GENERAR PROPUESTA COMERCIAL"/>
    <m/>
    <m/>
    <m/>
    <m/>
    <m/>
    <m/>
    <x v="1"/>
    <s v="N2|Por Mejorar"/>
    <s v="Alta"/>
    <m/>
    <s v="Lina Lemus"/>
    <m/>
    <m/>
    <m/>
    <m/>
    <m/>
    <n v="0"/>
  </r>
  <r>
    <x v="3"/>
    <x v="10"/>
    <s v="davivienda"/>
    <n v="0"/>
    <m/>
    <m/>
    <m/>
    <s v="GENERAR PROPUESTA COMERCIAL"/>
    <m/>
    <m/>
    <m/>
    <m/>
    <m/>
    <m/>
    <x v="1"/>
    <s v="N2|Por Mejorar"/>
    <s v="Alta"/>
    <m/>
    <s v="Luisa Escobar"/>
    <m/>
    <m/>
    <m/>
    <m/>
    <m/>
    <n v="0"/>
  </r>
  <r>
    <x v="3"/>
    <x v="11"/>
    <s v="Nu bank"/>
    <n v="0"/>
    <m/>
    <m/>
    <m/>
    <s v="GENERAR PROPUESTA COMERCIAL"/>
    <m/>
    <m/>
    <m/>
    <m/>
    <m/>
    <m/>
    <x v="1"/>
    <s v="N2|Por Mejorar"/>
    <s v="Alta"/>
    <m/>
    <s v="Lina Lemus"/>
    <m/>
    <m/>
    <m/>
    <m/>
    <m/>
    <n v="0"/>
  </r>
  <r>
    <x v="3"/>
    <x v="11"/>
    <s v="FENAVI"/>
    <n v="40000000"/>
    <s v="DESARROLO DE PROPUESTA DIGITAL"/>
    <m/>
    <m/>
    <s v="Entregar la propuesta digital y su valorización al ejecutivo correspondiente."/>
    <n v="100"/>
    <s v="La propuesta fue presentada al cliente "/>
    <n v="100"/>
    <s v="El cliente acepta la propuesta y esta queda pendiente de ejecución."/>
    <m/>
    <m/>
    <x v="3"/>
    <s v="N2|Por cerrar"/>
    <s v="Media"/>
    <m/>
    <s v="Lina Lemus"/>
    <s v="JULIO"/>
    <m/>
    <d v="2026-07-01T00:00:00"/>
    <d v="2026-07-01T00:00:00"/>
    <s v="Producto_Digital-La proteína que une a Colombia- FENAVI.pptx"/>
    <n v="40000000"/>
  </r>
  <r>
    <x v="4"/>
    <x v="12"/>
    <s v="INVERSIONES GLP S.A.S. E.S.P."/>
    <n v="38566800"/>
    <s v="Tiene un decrecimiento en su participación del mercado de 99%. Tiene toda su participación en Diarios."/>
    <m/>
    <m/>
    <s v="GENERAR PROPUESTA COMERCIAL"/>
    <n v="0"/>
    <m/>
    <n v="0"/>
    <m/>
    <n v="0"/>
    <m/>
    <x v="1"/>
    <s v="N3|Por Mejorar"/>
    <s v="Alta"/>
    <m/>
    <s v="Helen Fajardo"/>
    <m/>
    <m/>
    <m/>
    <m/>
    <m/>
    <n v="0"/>
  </r>
  <r>
    <x v="4"/>
    <x v="12"/>
    <s v="UNIVERSIDAD EUROPEA"/>
    <n v="40000000"/>
    <s v="PROPUESTA DIGITAL TODO Y MAS + FRANQUICIAS "/>
    <m/>
    <m/>
    <s v="GENERAR PROPUESTA COMERCIAL"/>
    <n v="100"/>
    <s v="ENTREGAR PROPUESTA"/>
    <n v="100"/>
    <s v="SIN CAMBIOS"/>
    <n v="100"/>
    <m/>
    <x v="0"/>
    <s v="N3|En seguimiento"/>
    <s v="Media"/>
    <m/>
    <s v="Helen Fajardo"/>
    <s v="JUNIO"/>
    <m/>
    <d v="2026-06-12T00:00:00"/>
    <d v="2026-06-12T00:00:00"/>
    <s v="PRODUCTO DIGITAL - FUTURO GLOBAL 1.pptx"/>
    <n v="46437280"/>
  </r>
  <r>
    <x v="4"/>
    <x v="13"/>
    <s v="Claro"/>
    <n v="0"/>
    <s v="e-commerce / venta digital, tecnologia, ciberseguridad, servisios de fibra, facturacion electronica"/>
    <m/>
    <m/>
    <s v="GENERAR PROPUESTA COMERCIAL"/>
    <m/>
    <m/>
    <m/>
    <m/>
    <m/>
    <m/>
    <x v="1"/>
    <s v="N3|Por Mejorar"/>
    <s v="Alta"/>
    <m/>
    <s v="Hugo Urrea"/>
    <m/>
    <m/>
    <m/>
    <m/>
    <m/>
    <n v="0"/>
  </r>
  <r>
    <x v="4"/>
    <x v="13"/>
    <s v="Politecnico"/>
    <n v="0"/>
    <s v="Leads - calidad - no registro - matricula"/>
    <m/>
    <m/>
    <s v="GENERAR PROPUESTA COMERCIAL"/>
    <m/>
    <m/>
    <m/>
    <m/>
    <m/>
    <m/>
    <x v="1"/>
    <s v="N3|Por Mejorar"/>
    <s v="Alta"/>
    <m/>
    <s v="Hugo Urrea"/>
    <m/>
    <m/>
    <m/>
    <m/>
    <m/>
    <n v="0"/>
  </r>
  <r>
    <x v="4"/>
    <x v="14"/>
    <s v="corona"/>
    <n v="0"/>
    <s v="este año su campaña es muy visual NSE alto / se le ha ofrecido figital pero no les gusta "/>
    <m/>
    <m/>
    <s v="GENERAR PROPUESTA COMERCIAL"/>
    <m/>
    <m/>
    <m/>
    <m/>
    <m/>
    <m/>
    <x v="1"/>
    <s v="N3|Por Mejorar"/>
    <s v="Alta"/>
    <m/>
    <s v="Sofia Calvera"/>
    <m/>
    <m/>
    <m/>
    <m/>
    <m/>
    <n v="0"/>
  </r>
  <r>
    <x v="4"/>
    <x v="15"/>
    <s v="U area andina"/>
    <n v="0"/>
    <s v="Leads - calidad x inscripciones"/>
    <m/>
    <m/>
    <s v="GENERAR PROPUESTA COMERCIAL"/>
    <m/>
    <m/>
    <m/>
    <m/>
    <m/>
    <m/>
    <x v="1"/>
    <s v="N3|Por Mejorar"/>
    <s v="Alta"/>
    <m/>
    <s v="Elsa Cortez"/>
    <m/>
    <m/>
    <m/>
    <m/>
    <m/>
    <n v="0"/>
  </r>
  <r>
    <x v="4"/>
    <x v="12"/>
    <s v="Motai"/>
    <n v="0"/>
    <s v="es un app para comprar Moto facil, la idea es mostrar como  es de facil adquirir su moto. Preosupesto bajo"/>
    <m/>
    <m/>
    <s v="GENERAR PROPUESTA COMERCIAL"/>
    <m/>
    <m/>
    <m/>
    <m/>
    <m/>
    <m/>
    <x v="1"/>
    <s v="N3|Por Mejorar"/>
    <s v="Alta"/>
    <m/>
    <s v="Helen Fajardo"/>
    <m/>
    <m/>
    <m/>
    <m/>
    <m/>
    <n v="0"/>
  </r>
  <r>
    <x v="4"/>
    <x v="16"/>
    <s v="paramo"/>
    <n v="15000000"/>
    <s v="solo nos ven como radio pero hacen pauta en otro lado, necesitamos vendernos como plataforma digital"/>
    <m/>
    <m/>
    <s v="GENERAR PROPUESTA COMERCIAL"/>
    <n v="100"/>
    <s v="Propuesta entregada"/>
    <n v="100"/>
    <s v="Realizar seguimiento a la propuesta para conocer su estado, confirmar si se concretó el cierre e identificar oportunidades de mejora."/>
    <n v="50"/>
    <m/>
    <x v="0"/>
    <s v="N3|En seguimiento"/>
    <s v="Media"/>
    <m/>
    <s v="Laura Melo"/>
    <s v="JULIO"/>
    <m/>
    <d v="2026-05-26T00:00:00"/>
    <d v="2026-07-21T00:00:00"/>
    <s v="PROPUESTA PARAMO PRESENTA.pptx"/>
    <n v="16880000"/>
  </r>
  <r>
    <x v="4"/>
    <x v="17"/>
    <s v="NESTOGENO"/>
    <n v="50000000"/>
    <s v="solicitud de propuesta digital a medida"/>
    <m/>
    <m/>
    <s v="generar propuesta"/>
    <n v="100"/>
    <s v="ENTREGAR PROPUESTA"/>
    <n v="100"/>
    <m/>
    <n v="100"/>
    <m/>
    <x v="3"/>
    <s v="N3|Por cerrar"/>
    <s v="Media"/>
    <s v="venta aceptada"/>
    <s v="Diana Andrea Rodiguez"/>
    <s v="JUNIO"/>
    <m/>
    <d v="2026-06-24T00:00:00"/>
    <d v="2026-06-24T00:00:00"/>
    <s v="Producto Digital - NESTOGENO - CRECIENDO JUNTAS.pptx"/>
    <n v="50686060"/>
  </r>
  <r>
    <x v="4"/>
    <x v="18"/>
    <s v="FALABELLA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3|En seguimiento"/>
    <s v="Media"/>
    <m/>
    <s v="Diana Andrea Rodriguez"/>
    <s v="JULIO"/>
    <m/>
    <d v="2026-07-08T00:00:00"/>
    <d v="2026-07-10T00:00:00"/>
    <s v="FALABELLA SHOPPING EXPERIENCE.pptx"/>
    <n v="30000000"/>
  </r>
  <r>
    <x v="4"/>
    <x v="19"/>
    <s v="Autoniza"/>
    <n v="5000000"/>
    <s v="Ecosistema whatsaap"/>
    <m/>
    <m/>
    <s v="Entregar la propuesta digital"/>
    <n v="100"/>
    <s v="Se formaliza el cierre de la venta y se da inicio al proceso de ejecución."/>
    <n v="100"/>
    <m/>
    <m/>
    <m/>
    <x v="2"/>
    <s v="N3|Cerrada"/>
    <s v="Baja"/>
    <m/>
    <s v="Laura Calvera"/>
    <s v="JUNIO"/>
    <m/>
    <d v="2026-06-02T00:00:00"/>
    <d v="2026-06-02T00:00:00"/>
    <s v="21-Producto_Digital_ECOSISTEMA-WHATSAPP.pptx"/>
    <n v="5500000"/>
  </r>
  <r>
    <x v="4"/>
    <x v="20"/>
    <s v="CORONA"/>
    <n v="40000000"/>
    <s v="PROPUESTA DE CÁPSULAS DE VIDEO CON CHECK IN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0"/>
    <s v="N3|En seguimiento"/>
    <s v="Baja"/>
    <m/>
    <s v="Diana Rodriguez"/>
    <s v="JUNIO"/>
    <m/>
    <m/>
    <m/>
    <s v="PRODUCTO DIGITAL - CERVEZA CORONA.pptx"/>
    <n v="40000000"/>
  </r>
  <r>
    <x v="4"/>
    <x v="21"/>
    <s v="Rappi"/>
    <n v="0"/>
    <s v="necesitan incrementar su ticket diario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4"/>
    <x v="21"/>
    <s v="construtoras planificadas"/>
    <n v="0"/>
    <s v="con que estrategia podriamos dar a conocer más a fondo los proyectos inmobiliarios que tienen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4"/>
    <x v="21"/>
    <s v="banco de occidente"/>
    <n v="0"/>
    <s v="llevan mas de un año sin comprar. Cuenta de ahorros que renta, inversion colombianos"/>
    <m/>
    <m/>
    <s v="GENERAR PROPUESTA COMERCIAL"/>
    <n v="0"/>
    <m/>
    <m/>
    <m/>
    <m/>
    <m/>
    <x v="1"/>
    <s v="N3|Por Mejorar"/>
    <s v="Alta"/>
    <m/>
    <s v="Nicole Hincapie"/>
    <m/>
    <m/>
    <m/>
    <m/>
    <m/>
    <n v="0"/>
  </r>
  <r>
    <x v="5"/>
    <x v="22"/>
    <s v="MedPlus"/>
    <n v="0"/>
    <s v="Fortalecer el posicionamiento de la marca aprovechando el aniversario de Clínica Azul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2"/>
    <s v="Win Sports"/>
    <n v="0"/>
    <s v="Aumentar audiencias y suscripciones entre hinchas colombianos en el exterior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3"/>
    <s v="UNAD"/>
    <n v="0"/>
    <s v="Atraer nuevos estudiantes en periodos de inscripción destacando flexibilidad, cobertura y accesibilidad."/>
    <m/>
    <m/>
    <s v="GENERAR PROPUESTA COMERCIAL"/>
    <n v="0"/>
    <m/>
    <m/>
    <m/>
    <m/>
    <m/>
    <x v="1"/>
    <s v="N4|Por Mejorar"/>
    <s v="Alta"/>
    <m/>
    <s v="Karen Perez"/>
    <m/>
    <m/>
    <m/>
    <m/>
    <m/>
    <n v="0"/>
  </r>
  <r>
    <x v="5"/>
    <x v="24"/>
    <s v="GAES"/>
    <n v="0"/>
    <s v="Desarrollar campañas de sensibilización sobre pérdida auditiva y promover soluciones de bienestar e inclusión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3"/>
    <s v="Desarrolladora Fontanar"/>
    <n v="0"/>
    <s v="Generar leads calificados para proyectos inmobiliarios."/>
    <m/>
    <m/>
    <s v="GENERAR PROPUESTA COMERCIAL"/>
    <n v="0"/>
    <m/>
    <m/>
    <m/>
    <m/>
    <m/>
    <x v="1"/>
    <s v="N4|Por Mejorar"/>
    <s v="Alta"/>
    <m/>
    <s v="Karen Perez"/>
    <m/>
    <m/>
    <m/>
    <m/>
    <m/>
    <n v="0"/>
  </r>
  <r>
    <x v="5"/>
    <x v="24"/>
    <s v="Boston Medical Group"/>
    <n v="0"/>
    <s v="Fortalecer el posicionamiento mediante contenidos educativos y generación de confianza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5"/>
    <s v="Levapan"/>
    <n v="0"/>
    <s v="Incrementar reconocimiento de marca y preferencia entre profesionales y emprendedores del sector alimentario."/>
    <m/>
    <m/>
    <s v="GENERAR PROPUESTA COMERCIAL"/>
    <n v="0"/>
    <m/>
    <m/>
    <m/>
    <m/>
    <m/>
    <x v="1"/>
    <s v="N4|Por Mejorar"/>
    <s v="Alta"/>
    <m/>
    <s v="Mauricio Agudelo"/>
    <m/>
    <m/>
    <m/>
    <m/>
    <m/>
    <n v="0"/>
  </r>
  <r>
    <x v="5"/>
    <x v="25"/>
    <s v="Fundación Cardio Infantil"/>
    <n v="0"/>
    <s v="Fortalecer el posicionamiento institucional y visibilizar su impacto social."/>
    <m/>
    <m/>
    <s v="GENERAR PROPUESTA COMERCIAL"/>
    <n v="0"/>
    <m/>
    <m/>
    <m/>
    <m/>
    <m/>
    <x v="1"/>
    <s v="N4|Por Mejorar"/>
    <s v="Alta"/>
    <m/>
    <s v="Mauricio Agudelo"/>
    <m/>
    <m/>
    <m/>
    <m/>
    <m/>
    <n v="0"/>
  </r>
  <r>
    <x v="5"/>
    <x v="22"/>
    <s v="Urbansa"/>
    <n v="0"/>
    <s v="Generar clientes potenciales para proyectos de vivienda VIS y No VIS."/>
    <m/>
    <m/>
    <s v="GENERAR PROPUESTA COMERCIAL"/>
    <n v="0"/>
    <m/>
    <m/>
    <m/>
    <m/>
    <m/>
    <x v="1"/>
    <s v="N4|Por Mejorar"/>
    <s v="Alta"/>
    <m/>
    <s v="Gina Tinjacá"/>
    <m/>
    <m/>
    <m/>
    <m/>
    <m/>
    <n v="0"/>
  </r>
  <r>
    <x v="5"/>
    <x v="24"/>
    <s v="Mastercard"/>
    <n v="0"/>
    <s v="Impulsar la adopción de medios de pago digitales, educación financiera e inclusión digital."/>
    <m/>
    <m/>
    <s v="GENERAR PROPUESTA COMERCIAL"/>
    <n v="0"/>
    <m/>
    <m/>
    <m/>
    <m/>
    <m/>
    <x v="1"/>
    <s v="N4|Por Mejorar"/>
    <s v="Alta"/>
    <m/>
    <s v="Valentina Párraga"/>
    <m/>
    <m/>
    <m/>
    <m/>
    <m/>
    <n v="0"/>
  </r>
  <r>
    <x v="5"/>
    <x v="26"/>
    <s v="SR SIMI"/>
    <n v="100000000"/>
    <s v="PROPUESTA FRANQUICIA - EL ALBÚM"/>
    <m/>
    <m/>
    <s v="GENERAR PROPUESTA COMERCIAL"/>
    <n v="100"/>
    <s v="ENTREGAR PROPUESTA"/>
    <n v="100"/>
    <s v="SIN CAMBIOS"/>
    <n v="100"/>
    <m/>
    <x v="2"/>
    <s v="N4|Cerrada"/>
    <s v="Media"/>
    <m/>
    <s v="Luis López"/>
    <s v="JUNIO"/>
    <m/>
    <d v="2026-06-16T00:00:00"/>
    <d v="2026-07-10T00:00:00"/>
    <s v="https://canva.link/7gihh7hu1w85rtl"/>
    <n v="100000000"/>
  </r>
  <r>
    <x v="5"/>
    <x v="22"/>
    <s v="ALCIAUTO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ALLIANZ SEGURO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AUTOGERMAN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BV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AT - BRITSH AMERICAN TOBACC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BROWN FORMAN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ASTROL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DERE COLOMBI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LCAN - VITALEA LAB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VINOC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COV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EGALITE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FORD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GENCELL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ISHOP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KFC - INVERSIONES INT COLOMBI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MAZD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MEDPLUS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SH - OSTU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VCO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PAX ASSISTANCE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SC JOHNSON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SIKA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2"/>
    <s v="UIP"/>
    <n v="0"/>
    <m/>
    <m/>
    <m/>
    <s v="GENERAR PROPUESTA COMERCIAL"/>
    <m/>
    <m/>
    <m/>
    <m/>
    <m/>
    <m/>
    <x v="1"/>
    <s v="N4|Por Mejorar"/>
    <s v="Alta"/>
    <m/>
    <s v="Gina Tinjacá"/>
    <m/>
    <m/>
    <m/>
    <m/>
    <m/>
    <n v="0"/>
  </r>
  <r>
    <x v="5"/>
    <x v="23"/>
    <s v="GAC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La propuesta fue aprobada por el cliente. Actualmente nos encontramos a la espera de su ejecución."/>
    <n v="100"/>
    <m/>
    <x v="2"/>
    <s v="N4|Cerrada"/>
    <s v="Media"/>
    <m/>
    <s v="Karen Perez"/>
    <s v="JULIO"/>
    <m/>
    <d v="2026-07-07T00:00:00"/>
    <d v="2026-07-07T00:00:00"/>
    <s v="Producto_Digital-CONDUCE EL FUTURO- GAC.pptx"/>
    <n v="15577700"/>
  </r>
  <r>
    <x v="5"/>
    <x v="23"/>
    <s v="Valvoline"/>
    <n v="8000000"/>
    <s v="La marca mostró interés en la franquicia Muchas Pelotas."/>
    <m/>
    <m/>
    <s v="Entregar la propuesta digital y su valorización al ejecutivo correspondiente."/>
    <n v="100"/>
    <s v="Se concreta el cierre de la venta."/>
    <n v="100"/>
    <m/>
    <m/>
    <m/>
    <x v="2"/>
    <s v="N4|Cerrada"/>
    <s v="Media"/>
    <m/>
    <s v="Karen Perez"/>
    <s v="JUNIO"/>
    <m/>
    <d v="2026-06-27T00:00:00"/>
    <d v="2026-06-27T00:00:00"/>
    <s v="FRANQUICIAS PRISA.pptx"/>
    <n v="8000000"/>
  </r>
  <r>
    <x v="5"/>
    <x v="23"/>
    <s v="Flamingo"/>
    <n v="30000000"/>
    <s v="PROPUESTA PARA ANIVERSARIO"/>
    <m/>
    <m/>
    <s v="PROPUESTA GENERADA Y ENVIADA AL EJECUTIVO"/>
    <n v="100"/>
    <s v="SEGUIMIENTO"/>
    <n v="50"/>
    <m/>
    <m/>
    <m/>
    <x v="0"/>
    <s v="N4|En seguimiento"/>
    <s v="Media"/>
    <m/>
    <s v="Karen Perez"/>
    <s v="JULIO"/>
    <m/>
    <d v="2026-07-14T00:00:00"/>
    <d v="2026-07-14T00:00:00"/>
    <s v="https://grupoprisa-my.sharepoint.com/:p:/g/personal/juangodoy_est_caracol_com_co/IQCTvV2t-eLWQq2L9mflqXwPAfE1ADF1gSilO6Wk8SmQ5eY?CID=ad890f88-4ed8-9a0d-3c25-51ff00ffeb03&amp;SI=SentItems&amp;SLSync=F"/>
    <n v="27980000"/>
  </r>
  <r>
    <x v="5"/>
    <x v="23"/>
    <s v="universidad de cataluña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0"/>
    <s v="N4|En seguimiento"/>
    <s v="Media"/>
    <m/>
    <s v="Karen Perez"/>
    <s v="JULIO"/>
    <m/>
    <d v="2026-07-14T00:00:00"/>
    <d v="2026-07-15T00:00:00"/>
    <s v="PROPUESTA UNIVERSIDAD DE CATALUÑA.pptx"/>
    <n v="10300000"/>
  </r>
  <r>
    <x v="6"/>
    <x v="27"/>
    <s v="Haleon"/>
    <n v="45700000"/>
    <s v="Desarrollar una propuesta altamente diferencial e innovadora que responda a sus altos estándares de aprobación y logre reactivar inversión frente a la participación activa que mantienen en otros medios."/>
    <m/>
    <m/>
    <s v="GENERAR PROPUESTA COMERCIAL"/>
    <n v="100"/>
    <s v="Realizar seguimiento a la propuesta para conocer su estado, confirmar si se concretó el cierre e identificar oportunidades de mejora."/>
    <n v="100"/>
    <m/>
    <n v="0"/>
    <m/>
    <x v="0"/>
    <s v="N5|En seguimiento"/>
    <s v="Alta"/>
    <m/>
    <s v="Luz Hernandez"/>
    <s v="JUNIO"/>
    <m/>
    <d v="2026-06-30T00:00:00"/>
    <d v="2026-06-30T00:00:00"/>
    <s v="PROPUESTA HALEON.pptx"/>
    <n v="24664200"/>
  </r>
  <r>
    <x v="6"/>
    <x v="27"/>
    <s v="Lactalis"/>
    <n v="8000000"/>
    <s v="Mantener seguimiento estratégico de la cuenta y monitorear oportunidades futuras mientras persisten restricciones regulatorias que limitan la reactivación en el corto plazo. TIENE UN PROBLEMA CON INVIMA "/>
    <m/>
    <m/>
    <s v="GENERAR PROPUESTA COMERCIAL"/>
    <n v="0"/>
    <m/>
    <n v="0"/>
    <m/>
    <n v="0"/>
    <m/>
    <x v="1"/>
    <s v="N5|Por Mejorar"/>
    <s v="Alta"/>
    <m/>
    <s v="Luz Karime Hernandez"/>
    <m/>
    <m/>
    <m/>
    <m/>
    <m/>
    <n v="0"/>
  </r>
  <r>
    <x v="6"/>
    <x v="28"/>
    <s v="Sector Universitario"/>
    <n v="4000000"/>
    <s v="Construir estrategias de comunicación de largo plazo que permitan presencia continua durante el año y reduzcan la dependencia de campañas estacionales de matrícula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AR Construcciones"/>
    <n v="0"/>
    <s v="Demostrar el valor de las plataformas de PRISA más allá de la radio tradicional, conectando soluciones comerciales con sus objetivos de negocio y generación de resultados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Constructora Galias"/>
    <n v="0"/>
    <s v="Presentar propuestas innovadoras y diferenciadas que incentiven el retorno de inversión y reactiven la relación comercial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8"/>
    <s v="Cromantic y Aruma"/>
    <n v="0"/>
    <s v="Diseñar iniciativas creativas que complementen sus estrategias digitales actuales y aumenten la participación de inversión en nuestros medios."/>
    <m/>
    <m/>
    <s v="GENERAR PROPUESTA COMERCIAL"/>
    <n v="0"/>
    <m/>
    <n v="0"/>
    <m/>
    <n v="0"/>
    <m/>
    <x v="1"/>
    <s v="N5|Por Mejorar"/>
    <s v="Alta"/>
    <m/>
    <s v="Ana Maria Castañeda"/>
    <m/>
    <m/>
    <m/>
    <m/>
    <m/>
    <n v="0"/>
  </r>
  <r>
    <x v="6"/>
    <x v="29"/>
    <s v="Cusezar"/>
    <n v="0"/>
    <s v="Desarrollar la cuenta mediante propuestas diferenciadoras que fortalezcan la relación y generen crecimiento sostenido de inversión.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29"/>
    <s v="Cemex"/>
    <n v="0"/>
    <s v="Construir relacionamiento comercial y generar oportunidades desde una etapa temprana de exploración para consolidar futuras inversiones.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29"/>
    <s v="Distrito Salvaje"/>
    <n v="0"/>
    <s v="Impulsar el desarrollo de la cuenta mediante acciones de valor que fortalezcan el posicionamiento de marca y generen nuevas oportunidades comerciales. NO TIENEN CONTACTO CON EL GERENTE"/>
    <m/>
    <m/>
    <s v="GENERAR PROPUESTA COMERCIAL"/>
    <n v="0"/>
    <m/>
    <n v="0"/>
    <m/>
    <n v="0"/>
    <m/>
    <x v="1"/>
    <s v="N5|Por Mejorar"/>
    <s v="Alta"/>
    <m/>
    <s v="Carol Beltan"/>
    <m/>
    <m/>
    <m/>
    <m/>
    <m/>
    <n v="0"/>
  </r>
  <r>
    <x v="6"/>
    <x v="30"/>
    <s v="Viajes Falabella"/>
    <n v="0"/>
    <s v="Desarrollar estrategias enfocadas y alineadas con objetivos de negocio para incrementar progresivamente su nivel de inversión."/>
    <m/>
    <m/>
    <s v="GENERAR PROPUESTA COMERCIAL"/>
    <n v="0"/>
    <m/>
    <n v="0"/>
    <m/>
    <n v="0"/>
    <m/>
    <x v="1"/>
    <s v="N5|Por Mejorar"/>
    <s v="Alta"/>
    <m/>
    <s v="Raul Herrera"/>
    <m/>
    <m/>
    <m/>
    <m/>
    <m/>
    <n v="0"/>
  </r>
  <r>
    <x v="6"/>
    <x v="30"/>
    <s v="Movistar"/>
    <n v="0"/>
    <s v="Identificar alternativas comerciales que compensen la reducción de inversión derivada del proceso de integración con Tigo y sostener participación en la categoría."/>
    <m/>
    <m/>
    <s v="GENERAR PROPUESTA COMERCIAL"/>
    <n v="0"/>
    <m/>
    <n v="0"/>
    <m/>
    <n v="0"/>
    <m/>
    <x v="1"/>
    <s v="N5|Por Mejorar"/>
    <s v="Alta"/>
    <m/>
    <s v="Raul Herrera"/>
    <m/>
    <m/>
    <m/>
    <m/>
    <m/>
    <n v="0"/>
  </r>
  <r>
    <x v="6"/>
    <x v="29"/>
    <s v="TA•DA"/>
    <n v="50000000"/>
    <s v="PROPUESTA DIGITAL - DINAMICA DE SUBASTA"/>
    <m/>
    <m/>
    <s v="GENERAR PROPUESTA COMERCIAL"/>
    <n v="100"/>
    <s v="Realizar seguimiento a la propuesta para conocer su estado, confirmar si se concretó el cierre e identificar oportunidades de mejora."/>
    <n v="100"/>
    <s v="SIN CAMBIOS "/>
    <n v="100"/>
    <m/>
    <x v="0"/>
    <s v="N5|En seguimiento"/>
    <s v="Baja"/>
    <m/>
    <s v="Carol Beltan"/>
    <s v="JUNIO"/>
    <m/>
    <d v="2026-06-01T00:00:00"/>
    <d v="2026-06-01T00:00:00"/>
    <s v="PRODUCTO DIGITAL - TA•DA.pptx"/>
    <n v="60000000"/>
  </r>
  <r>
    <x v="6"/>
    <x v="29"/>
    <s v="BAVARIA"/>
    <n v="20000000"/>
    <s v="PROPUESTA DIGITAL LA RUTA DEL GOL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2"/>
    <s v="N5|Cerrada"/>
    <s v="Baja"/>
    <m/>
    <s v="Carol Beltan"/>
    <s v="JUNIO"/>
    <m/>
    <d v="2026-06-09T00:00:00"/>
    <d v="2026-06-09T00:00:00"/>
    <m/>
    <n v="18000000"/>
  </r>
  <r>
    <x v="6"/>
    <x v="29"/>
    <s v="AMALFITANA"/>
    <n v="40000000"/>
    <s v="PROPUESTA DUGITAL CON DOS PUNTOS 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0"/>
    <s v="N5|En seguimiento"/>
    <s v="Media"/>
    <m/>
    <s v="Carol Beltran"/>
    <s v="JUNIO"/>
    <m/>
    <d v="2026-06-26T00:00:00"/>
    <d v="2026-06-22T00:00:00"/>
    <s v="PRODUCTO DIGITAL - AMALFITANA.pptx"/>
    <n v="45000000"/>
  </r>
  <r>
    <x v="6"/>
    <x v="29"/>
    <s v="coca-cola"/>
    <n v="0"/>
    <m/>
    <m/>
    <m/>
    <s v="GENERAR PROPUESTA COMERCIAL"/>
    <n v="0"/>
    <m/>
    <m/>
    <m/>
    <m/>
    <m/>
    <x v="1"/>
    <s v="N5|Por Mejorar"/>
    <s v="Alta"/>
    <m/>
    <s v="Carol Beltan"/>
    <m/>
    <m/>
    <m/>
    <m/>
    <m/>
    <n v="0"/>
  </r>
  <r>
    <x v="6"/>
    <x v="30"/>
    <s v="movistar"/>
    <n v="0"/>
    <m/>
    <m/>
    <m/>
    <s v="GENERAR PROPUESTA COMERCIAL"/>
    <n v="0"/>
    <m/>
    <m/>
    <m/>
    <m/>
    <m/>
    <x v="1"/>
    <s v="N5|Por Mejorar"/>
    <s v="Alta"/>
    <m/>
    <s v="Raul Herrera"/>
    <m/>
    <m/>
    <m/>
    <m/>
    <m/>
    <n v="0"/>
  </r>
  <r>
    <x v="6"/>
    <x v="28"/>
    <s v="decathlon"/>
    <n v="0"/>
    <m/>
    <m/>
    <m/>
    <s v="GENERAR PROPUESTA COMERCIAL"/>
    <n v="0"/>
    <m/>
    <m/>
    <m/>
    <m/>
    <m/>
    <x v="1"/>
    <s v="N5|Por Mejorar"/>
    <s v="Alta"/>
    <m/>
    <s v="Ana Maria Castañeda"/>
    <m/>
    <m/>
    <m/>
    <m/>
    <m/>
    <n v="0"/>
  </r>
  <r>
    <x v="6"/>
    <x v="30"/>
    <s v="compensar"/>
    <n v="0"/>
    <m/>
    <m/>
    <m/>
    <s v="GENERAR PROPUESTA COMERCIAL"/>
    <n v="0"/>
    <m/>
    <m/>
    <m/>
    <m/>
    <m/>
    <x v="1"/>
    <s v="N5|Por Mejorar"/>
    <s v="Alta"/>
    <m/>
    <s v="Raul Herrera"/>
    <m/>
    <m/>
    <m/>
    <m/>
    <m/>
    <n v="0"/>
  </r>
  <r>
    <x v="6"/>
    <x v="30"/>
    <s v="Despegar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5|En seguimiento"/>
    <s v="Media"/>
    <m/>
    <s v="Raul Herrera"/>
    <s v="JULIO"/>
    <m/>
    <d v="2026-07-03T00:00:00"/>
    <d v="2026-07-03T00:00:00"/>
    <s v="PROPUESTA DESPEGAR.pptx"/>
    <n v="39000000"/>
  </r>
  <r>
    <x v="6"/>
    <x v="29"/>
    <s v="BAN 100 "/>
    <n v="8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5|En seguimiento"/>
    <s v="Media"/>
    <m/>
    <s v="Carol Beltan"/>
    <s v="JULIO"/>
    <m/>
    <d v="2026-07-07T00:00:00"/>
    <d v="2026-07-07T00:00:00"/>
    <s v="PROPUESTA BAN100.pptx"/>
    <n v="8500000"/>
  </r>
  <r>
    <x v="6"/>
    <x v="29"/>
    <s v="Cerveza Tributo"/>
    <n v="40000000"/>
    <s v="PROPUESTA  DIGITAL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0"/>
    <s v="N5|En seguimiento"/>
    <s v="Media"/>
    <m/>
    <s v="Carol Beltan"/>
    <s v="JULIO"/>
    <m/>
    <d v="2026-07-10T00:00:00"/>
    <d v="2026-07-15T00:00:00"/>
    <s v="Producto_Digital-TRIBUTO.pptx"/>
    <n v="45000000"/>
  </r>
  <r>
    <x v="6"/>
    <x v="27"/>
    <s v="HP"/>
    <n v="48000000"/>
    <s v="DESARROLO DE PROPUESTA DIGITAL CON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m/>
    <m/>
    <x v="3"/>
    <s v="N5|Por cerrar"/>
    <s v="Media"/>
    <m/>
    <s v="Luz Karime Hernandez"/>
    <s v="JULIO"/>
    <m/>
    <d v="2026-07-17T00:00:00"/>
    <d v="2026-07-17T00:00:00"/>
    <s v="PROPUESTA HP.pptx"/>
    <n v="480000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3" cacheId="1463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H6:J52" firstHeaderRow="0" firstDataRow="1" firstDataCol="1"/>
  <pivotFields count="25"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m="1" x="7"/>
        <item t="data" sd="1" x="2"/>
        <item t="data" sd="1" x="3"/>
        <item t="data" sd="1" x="4"/>
        <item t="data" sd="1" x="5"/>
        <item t="data" sd="1" x="6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8">
        <item t="data" sd="1" x="0"/>
        <item t="data" sd="1" x="7"/>
        <item t="data" sd="1" m="1" x="32"/>
        <item t="data" sd="1" x="9"/>
        <item t="data" sd="1" x="29"/>
        <item t="data" sd="1" x="6"/>
        <item t="data" sd="1" m="1" x="33"/>
        <item t="data" sd="1" x="17"/>
        <item t="data" sd="1" x="18"/>
        <item t="data" sd="1" x="3"/>
        <item t="data" sd="1" m="1" x="31"/>
        <item t="data" sd="1" x="12"/>
        <item t="data" sd="1" m="1" x="35"/>
        <item t="data" sd="1" x="2"/>
        <item t="data" sd="1" x="23"/>
        <item t="data" sd="1" x="19"/>
        <item t="data" sd="1" x="11"/>
        <item t="data" sd="1" x="10"/>
        <item t="data" sd="1" x="27"/>
        <item t="data" sd="1" x="8"/>
        <item t="data" sd="1" x="30"/>
        <item t="data" sd="1" m="1" x="34"/>
        <item t="data" sd="1" m="1" x="36"/>
        <item t="data" sd="1" x="13"/>
        <item t="data" sd="1" x="14"/>
        <item t="data" sd="1" x="15"/>
        <item t="data" sd="1" x="16"/>
        <item t="data" sd="1" x="20"/>
        <item t="data" sd="1" x="21"/>
        <item t="data" sd="1" x="22"/>
        <item t="data" sd="1" x="24"/>
        <item t="data" sd="1" x="25"/>
        <item t="data" sd="1" x="26"/>
        <item t="data" sd="1" x="28"/>
        <item t="data" sd="1" x="4"/>
        <item t="data" sd="1" x="5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sd="1" x="2"/>
        <item t="data" sd="1" x="0"/>
        <item t="data" h="1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3">
    <field x="0"/>
    <field x="14"/>
    <field x="1"/>
  </rowFields>
  <rowItems count="46">
    <i t="data" r="0" i="0">
      <x v="0"/>
    </i>
    <i t="data" r="1" i="0">
      <x v="1"/>
    </i>
    <i t="data" r="2" i="0">
      <x v="0"/>
    </i>
    <i t="data" r="0" i="0">
      <x v="2"/>
    </i>
    <i t="data" r="1" i="0">
      <x v="0"/>
    </i>
    <i t="data" r="2" i="0">
      <x v="35"/>
    </i>
    <i t="data" r="1" i="0">
      <x v="1"/>
    </i>
    <i t="data" r="2" i="0">
      <x v="1"/>
    </i>
    <i t="data" r="2" i="0">
      <x v="5"/>
    </i>
    <i t="data" r="2" i="0">
      <x v="13"/>
    </i>
    <i t="data" r="2" i="0">
      <x v="19"/>
    </i>
    <i t="data" r="0" i="0">
      <x v="3"/>
    </i>
    <i t="data" r="1" i="0">
      <x v="1"/>
    </i>
    <i t="data" r="2" i="0">
      <x v="3"/>
    </i>
    <i t="data" r="2" i="0">
      <x v="17"/>
    </i>
    <i t="data" r="1" i="0">
      <x v="3"/>
    </i>
    <i t="data" r="2" i="0">
      <x v="16"/>
    </i>
    <i t="data" r="0" i="0">
      <x v="4"/>
    </i>
    <i t="data" r="1" i="0">
      <x v="0"/>
    </i>
    <i t="data" r="2" i="0">
      <x v="15"/>
    </i>
    <i t="data" r="1" i="0">
      <x v="1"/>
    </i>
    <i t="data" r="2" i="0">
      <x v="8"/>
    </i>
    <i t="data" r="2" i="0">
      <x v="11"/>
    </i>
    <i t="data" r="2" i="0">
      <x v="26"/>
    </i>
    <i t="data" r="2" i="0">
      <x v="27"/>
    </i>
    <i t="data" r="1" i="0">
      <x v="3"/>
    </i>
    <i t="data" r="2" i="0">
      <x v="7"/>
    </i>
    <i t="data" r="0" i="0">
      <x v="5"/>
    </i>
    <i t="data" r="1" i="0">
      <x v="0"/>
    </i>
    <i t="data" r="2" i="0">
      <x v="14"/>
    </i>
    <i t="data" r="2" i="0">
      <x v="32"/>
    </i>
    <i t="data" r="1" i="0">
      <x v="1"/>
    </i>
    <i t="data" r="2" i="0">
      <x v="14"/>
    </i>
    <i t="data" r="0" i="0">
      <x v="6"/>
    </i>
    <i t="data" r="1" i="0">
      <x v="0"/>
    </i>
    <i t="data" r="2" i="0">
      <x v="4"/>
    </i>
    <i t="data" r="1" i="0">
      <x v="1"/>
    </i>
    <i t="data" r="2" i="0">
      <x v="4"/>
    </i>
    <i t="data" r="2" i="0">
      <x v="18"/>
    </i>
    <i t="data" r="2" i="0">
      <x v="20"/>
    </i>
    <i t="data" r="1" i="0">
      <x v="3"/>
    </i>
    <i t="data" r="2" i="0">
      <x v="18"/>
    </i>
    <i t="data" r="0" i="0">
      <x v="7"/>
    </i>
    <i t="data" r="1" i="0">
      <x v="1"/>
    </i>
    <i t="data" r="2" i="0">
      <x v="36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VENTA ESTIMADA" fld="3" subtotal="sum" showDataAs="normal" baseField="0" baseItem="4" numFmtId="166"/>
    <dataField name="Suma de VALOR DE LA PROPUESTA" fld="24" subtotal="sum" showDataAs="normal" baseField="0" baseItem="4" numFmtId="166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BasePowerBI" displayName="tbl_BasePowerBI" ref="A1:AG143" headerRowCount="1" totalsRowShown="0" headerRowDxfId="67" dataDxfId="66">
  <autoFilter ref="A1:AG143">
    <filterColumn colId="1" hiddenButton="0" showButton="1">
      <filters>
        <filter val="Laura Melo"/>
      </filters>
    </filterColumn>
  </autoFilter>
  <tableColumns count="33">
    <tableColumn id="1" name="EQUIPO" dataDxfId="64" totalsRowDxfId="65"/>
    <tableColumn id="2" name="NOMBRE EJECUTIVO" dataDxfId="62" totalsRowDxfId="63"/>
    <tableColumn id="3" name="CUENTA" dataDxfId="60" totalsRowDxfId="61"/>
    <tableColumn id="4" name="VENTA ESTIMADA" dataDxfId="58" totalsRowDxfId="59"/>
    <tableColumn id="5" name="NECESIDAD 1" dataDxfId="56" totalsRowDxfId="57"/>
    <tableColumn id="6" name="NECESIDAD 2" dataDxfId="54" totalsRowDxfId="55"/>
    <tableColumn id="7" name="NECESIDAD 3" dataDxfId="52" totalsRowDxfId="53"/>
    <tableColumn id="8" name="PLAN DE ACCIÓN 1" dataDxfId="50" totalsRowDxfId="51"/>
    <tableColumn id="9" name="AVANCE PLAN 1" dataDxfId="48" totalsRowDxfId="49"/>
    <tableColumn id="10" name="PLAN DE ACCIÓN 2" dataDxfId="46" totalsRowDxfId="47"/>
    <tableColumn id="11" name="AVANCE PLAN 2" dataDxfId="44" totalsRowDxfId="45"/>
    <tableColumn id="12" name="PLAN DE ACCIÓN 3" dataDxfId="42" totalsRowDxfId="43"/>
    <tableColumn id="13" name="AVANCE PLAN 3" dataDxfId="40" totalsRowDxfId="41"/>
    <tableColumn id="14" name="OPORTUNIDAD" dataDxfId="38" totalsRowDxfId="39"/>
    <tableColumn id="15" name="ESTADO" dataDxfId="36" totalsRowDxfId="37"/>
    <tableColumn id="16" name="CLAVE" dataDxfId="34" totalsRowDxfId="35">
      <calculatedColumnFormula>A2&amp;"|"&amp;O2</calculatedColumnFormula>
    </tableColumn>
    <tableColumn id="18" name="PRIORIDAD" dataDxfId="32" totalsRowDxfId="33"/>
    <tableColumn id="20" name="RESPONSABLE" dataDxfId="30" totalsRowDxfId="31">
      <calculatedColumnFormula>TRIM(tbl_BasePowerBI[[#This Row],[NOMBRE EJECUTIVO]])</calculatedColumnFormula>
    </tableColumn>
    <tableColumn id="35" name="MES" dataDxfId="28" totalsRowDxfId="29"/>
    <tableColumn id="33" name="FECHA SOLICITUD" dataDxfId="26" totalsRowDxfId="27"/>
    <tableColumn id="34" name="FECHA DE ENTREGA" dataDxfId="24" totalsRowDxfId="25"/>
    <tableColumn id="32" name="LINK DE PRESENTACION" dataDxfId="22" totalsRowDxfId="23"/>
    <tableColumn id="31" name="VALOR DE LA PROPUESTA" dataDxfId="20" totalsRowDxfId="21"/>
    <tableColumn id="21" name="Columna1" dataDxfId="18" totalsRowDxfId="19"/>
    <tableColumn id="22" name="Columna2" dataDxfId="16" totalsRowDxfId="17"/>
    <tableColumn id="23" name="Columna3" dataDxfId="14" totalsRowDxfId="15"/>
    <tableColumn id="24" name="NOMBRE DIRECTOR" dataDxfId="12" totalsRowDxfId="13"/>
    <tableColumn id="25" name="TIPO EQUIPO" dataDxfId="10" totalsRowDxfId="11"/>
    <tableColumn id="26" name="EQUIPO4" dataDxfId="8" totalsRowDxfId="9"/>
    <tableColumn id="27" name="ESTADO5" dataDxfId="6" totalsRowDxfId="7"/>
    <tableColumn id="28" name="IMAGEN6" dataDxfId="4" totalsRowDxfId="5"/>
    <tableColumn id="29" name="PRIORIDAD7" dataDxfId="2" totalsRowDxfId="3"/>
    <tableColumn id="30" name="CLAVE8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 Id="rId1"/><Relationship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 Id="rId2"/><Relationship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 Id="rId3"/><Relationship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 Id="rId4"/><Relationship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 Id="rId5"/><Relationship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 Id="rId6"/><Relationship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 Id="rId7"/><Relationship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 Id="rId8"/><Relationship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 Id="rId9"/><Relationship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 Id="rId10"/><Relationship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 Id="rId11"/><Relationship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 Id="rId12"/><Relationship Type="http://schemas.openxmlformats.org/officeDocument/2006/relationships/hyperlink" Target="https://grupoprisa-my.sharepoint.com/:p:/g/personal/juangodoy_est_caracol_com_co/IQCYkmJrdbInS4u8M93JA0qcAZGDL-39y8dP9-zxG8YRQ3k" TargetMode="External" Id="rId13"/><Relationship Type="http://schemas.openxmlformats.org/officeDocument/2006/relationships/hyperlink" Target="https://grupoprisa-my.sharepoint.com/:p:/g/personal/juangodoy_est_caracol_com_co/IQCHxe3NSSkMSpsZDwFQ5LU5Ac7jtZiYMDl8eyyLQMcBTDw" TargetMode="External" Id="rId14"/><Relationship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 Id="rId15"/><Relationship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 Id="rId16"/><Relationship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 Id="rId17"/><Relationship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 Id="rId18"/><Relationship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 Id="rId19"/><Relationship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 Id="rId20"/><Relationship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 Id="rId21"/><Relationship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 Id="rId22"/><Relationship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 Id="rId23"/><Relationship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 Id="rId24"/><Relationship Type="http://schemas.openxmlformats.org/officeDocument/2006/relationships/hyperlink" Target="https://grupoprisa-my.sharepoint.com/:p:/r/personal/sthefanie_botello_caracol_com_co/Documents/Escritorio/Productos%20digitales/Producto_Digital_MERCADO%20LIBRE%20LIVE%20COMMERCE.pptx?d=w2a3ebc3b146f4a4f98ded397c59e751e&amp;csf=1&amp;web=1&amp;e=Xxve3o" TargetMode="External" Id="rId25"/><Relationship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 Id="rId26"/><Relationship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 Id="rId27"/><Relationship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 Id="rId28"/><Relationship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 Id="rId29"/><Relationship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 Id="rId30"/><Relationship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 Id="rId31"/><Relationship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 Id="rId32"/><Relationship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 Id="rId33"/><Relationship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 Id="rId34"/><Relationship Type="http://schemas.openxmlformats.org/officeDocument/2006/relationships/hyperlink" Target="https://canva.link/7gihh7hu1w85rtl" TargetMode="External" Id="rId35"/><Relationship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 Id="rId36"/><Relationship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 Id="rId37"/><Relationship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 Id="rId38"/><Relationship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 Id="rId39"/><Relationship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 Id="rId40"/><Relationship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 Id="rId41"/><Relationship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 Id="rId42"/><Relationship Type="http://schemas.openxmlformats.org/officeDocument/2006/relationships/hyperlink" Target="https://grupoprisa-my.sharepoint.com/:p:/r/personal/juangodoy_est_caracol_com_co/Documents/Attachments/PROPUESTA%20DESPEGAR.pptx?d=wd0ce958b3bf64f7ebd9b028f0cfec022&amp;csf=1&amp;web=1&amp;e=D56cZ1" TargetMode="External" Id="rId43"/><Relationship Type="http://schemas.openxmlformats.org/officeDocument/2006/relationships/hyperlink" Target="https://grupoprisa-my.sharepoint.com/:p:/g/personal/juangodoy_est_caracol_com_co/IQAbvqSuk_j7R6fukUVkjx7zATXZHTUC5Rp49sx_jKdXR4A?e=kuUIR2" TargetMode="External" Id="rId44"/><Relationship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 Id="rId45"/><Relationship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 Id="rId46"/><Relationship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 Id="rId47"/><Relationship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 Id="rId48"/><Relationship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 Id="rId49"/><Relationship Type="http://schemas.openxmlformats.org/officeDocument/2006/relationships/table" Target="/xl/tables/table1.xml" Id="rId50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B1:Y1000"/>
  <sheetViews>
    <sheetView workbookViewId="0">
      <selection activeCell="D11" sqref="D11"/>
    </sheetView>
  </sheetViews>
  <sheetFormatPr baseColWidth="8" defaultColWidth="12.5703125" defaultRowHeight="15" customHeight="1"/>
  <cols>
    <col width="2.85546875" customWidth="1" style="1" min="1" max="1"/>
    <col width="19.42578125" customWidth="1" min="2" max="2"/>
    <col width="21.7109375" customWidth="1" min="3" max="3"/>
    <col width="28.28515625" customWidth="1" min="4" max="4"/>
    <col width="16" customWidth="1" min="5" max="5"/>
    <col width="2.5703125" customWidth="1" min="6" max="6"/>
    <col width="20" customWidth="1" min="7" max="7"/>
    <col width="18.5703125" customWidth="1" min="8" max="8"/>
    <col width="24.42578125" customWidth="1" min="9" max="9"/>
    <col width="16.5703125" customWidth="1" min="10" max="10"/>
    <col width="4" customWidth="1" min="11" max="11"/>
    <col width="19.7109375" customWidth="1" min="12" max="12"/>
    <col width="18.5703125" customWidth="1" min="13" max="13"/>
    <col width="27.140625" customWidth="1" min="14" max="14"/>
    <col width="15.7109375" customWidth="1" min="15" max="15"/>
    <col width="2.42578125" customWidth="1" min="16" max="16"/>
    <col width="17.42578125" customWidth="1" min="17" max="17"/>
    <col width="18.5703125" customWidth="1" min="18" max="18"/>
    <col width="27.7109375" customWidth="1" min="19" max="19"/>
    <col width="15.7109375" customWidth="1" min="20" max="20"/>
    <col width="2.42578125" customWidth="1" min="21" max="21"/>
    <col width="18.5703125" customWidth="1" min="22" max="23"/>
    <col width="25.42578125" customWidth="1" min="24" max="24"/>
    <col width="15.7109375" customWidth="1" min="25" max="25"/>
    <col width="18.5703125" customWidth="1" style="1" min="26" max="26"/>
  </cols>
  <sheetData>
    <row r="1" ht="21.75" customHeight="1">
      <c r="B1" s="246" t="inlineStr">
        <is>
          <t>N1</t>
        </is>
      </c>
      <c r="C1" s="247" t="n"/>
      <c r="D1" s="247" t="n"/>
      <c r="E1" s="248" t="n"/>
      <c r="F1" s="2" t="n"/>
      <c r="G1" s="249" t="inlineStr">
        <is>
          <t>N2</t>
        </is>
      </c>
      <c r="H1" s="250" t="n"/>
      <c r="I1" s="250" t="n"/>
      <c r="J1" s="251" t="n"/>
      <c r="K1" s="2" t="n"/>
      <c r="L1" s="252" t="inlineStr">
        <is>
          <t>N3</t>
        </is>
      </c>
      <c r="M1" s="253" t="n"/>
      <c r="N1" s="253" t="n"/>
      <c r="O1" s="254" t="n"/>
      <c r="P1" s="2" t="n"/>
      <c r="Q1" s="255" t="inlineStr">
        <is>
          <t>N4</t>
        </is>
      </c>
      <c r="R1" s="256" t="n"/>
      <c r="S1" s="256" t="n"/>
      <c r="T1" s="257" t="n"/>
      <c r="U1" s="2" t="n"/>
      <c r="V1" s="258" t="inlineStr">
        <is>
          <t>N5</t>
        </is>
      </c>
      <c r="W1" s="259" t="n"/>
      <c r="X1" s="259" t="n"/>
      <c r="Y1" s="260" t="n"/>
    </row>
    <row r="2" ht="21.75" customHeight="1">
      <c r="B2" s="261" t="inlineStr">
        <is>
          <t>EJECUTIVO</t>
        </is>
      </c>
      <c r="C2" s="262" t="n"/>
      <c r="D2" s="262" t="n"/>
      <c r="E2" s="263" t="n"/>
      <c r="F2" s="2" t="n"/>
      <c r="G2" s="264" t="inlineStr">
        <is>
          <t>EJECUTIVO</t>
        </is>
      </c>
      <c r="H2" s="265" t="n"/>
      <c r="I2" s="265" t="n"/>
      <c r="J2" s="266" t="n"/>
      <c r="K2" s="2" t="n"/>
      <c r="L2" s="267" t="inlineStr">
        <is>
          <t>EJECUTIVO</t>
        </is>
      </c>
      <c r="M2" s="268" t="n"/>
      <c r="N2" s="268" t="n"/>
      <c r="O2" s="269" t="n"/>
      <c r="P2" s="2" t="n"/>
      <c r="Q2" s="270" t="inlineStr">
        <is>
          <t>EJECUTIVO</t>
        </is>
      </c>
      <c r="R2" s="271" t="n"/>
      <c r="S2" s="271" t="n"/>
      <c r="T2" s="272" t="n"/>
      <c r="U2" s="2" t="n"/>
      <c r="V2" s="273" t="inlineStr">
        <is>
          <t>EJECUTIVO</t>
        </is>
      </c>
      <c r="W2" s="274" t="n"/>
      <c r="X2" s="274" t="n"/>
      <c r="Y2" s="275" t="n"/>
    </row>
    <row r="3" ht="21.75" customHeight="1">
      <c r="B3" s="276" t="n"/>
      <c r="C3" s="262" t="n"/>
      <c r="D3" s="262" t="n"/>
      <c r="E3" s="263" t="n"/>
      <c r="F3" s="2" t="n"/>
      <c r="G3" s="264" t="n"/>
      <c r="H3" s="265" t="n"/>
      <c r="I3" s="265" t="n"/>
      <c r="J3" s="266" t="n"/>
      <c r="K3" s="2" t="n"/>
      <c r="L3" s="267" t="n"/>
      <c r="M3" s="268" t="n"/>
      <c r="N3" s="268" t="n"/>
      <c r="O3" s="269" t="n"/>
      <c r="P3" s="3" t="n"/>
      <c r="Q3" s="277" t="n"/>
      <c r="R3" s="271" t="n"/>
      <c r="S3" s="271" t="n"/>
      <c r="T3" s="272" t="n"/>
      <c r="U3" s="4" t="n"/>
      <c r="V3" s="278" t="n"/>
      <c r="W3" s="274" t="n"/>
      <c r="X3" s="274" t="n"/>
      <c r="Y3" s="275" t="n"/>
    </row>
    <row r="4" ht="21.75" customHeight="1">
      <c r="B4" s="5" t="inlineStr">
        <is>
          <t>RESPONSABLE</t>
        </is>
      </c>
      <c r="C4" s="6" t="inlineStr">
        <is>
          <t>CUENTAS</t>
        </is>
      </c>
      <c r="D4" s="6" t="inlineStr">
        <is>
          <t>NECESIDAD PRINCIPAL</t>
        </is>
      </c>
      <c r="E4" s="7" t="inlineStr">
        <is>
          <t>OPORTUNIDAD</t>
        </is>
      </c>
      <c r="F4" s="8" t="n"/>
      <c r="G4" s="9" t="inlineStr">
        <is>
          <t>RESPONSABLE</t>
        </is>
      </c>
      <c r="H4" s="10" t="inlineStr">
        <is>
          <t>CUENTAS</t>
        </is>
      </c>
      <c r="I4" s="10" t="inlineStr">
        <is>
          <t>NECESIDAD PRINCIPAL</t>
        </is>
      </c>
      <c r="J4" s="11" t="inlineStr">
        <is>
          <t>OPORTUNIDAD</t>
        </is>
      </c>
      <c r="K4" s="8" t="n"/>
      <c r="L4" s="12" t="inlineStr">
        <is>
          <t>RESPONSABLE</t>
        </is>
      </c>
      <c r="M4" s="13" t="inlineStr">
        <is>
          <t>CUENTAS</t>
        </is>
      </c>
      <c r="N4" s="13" t="inlineStr">
        <is>
          <t>NECESIDAD PRINCIPAL</t>
        </is>
      </c>
      <c r="O4" s="14" t="inlineStr">
        <is>
          <t>OPORTUNIDAD</t>
        </is>
      </c>
      <c r="P4" s="8" t="n"/>
      <c r="Q4" s="15" t="inlineStr">
        <is>
          <t>RESPONSABLE</t>
        </is>
      </c>
      <c r="R4" s="16" t="inlineStr">
        <is>
          <t>CUENTAS</t>
        </is>
      </c>
      <c r="S4" s="16" t="inlineStr">
        <is>
          <t>NECESIDAD PRINCIPAL</t>
        </is>
      </c>
      <c r="T4" s="17" t="inlineStr">
        <is>
          <t>OPORTUNIDAD</t>
        </is>
      </c>
      <c r="U4" s="8" t="n"/>
      <c r="V4" s="18" t="inlineStr">
        <is>
          <t>RESPONSABLE</t>
        </is>
      </c>
      <c r="W4" s="19" t="inlineStr">
        <is>
          <t>CUENTAS</t>
        </is>
      </c>
      <c r="X4" s="19" t="inlineStr">
        <is>
          <t>NECESIDAD PRINCIPAL</t>
        </is>
      </c>
      <c r="Y4" s="20" t="inlineStr">
        <is>
          <t>OPORTUNIDAD</t>
        </is>
      </c>
    </row>
    <row r="5" ht="21.75" customHeight="1">
      <c r="B5" s="21" t="n"/>
      <c r="C5" s="22" t="inlineStr">
        <is>
          <t>yale</t>
        </is>
      </c>
      <c r="D5" s="23" t="n"/>
      <c r="E5" s="24" t="n"/>
      <c r="F5" s="1" t="n"/>
      <c r="G5" s="25" t="n"/>
      <c r="H5" s="26" t="inlineStr">
        <is>
          <t>mercado libre</t>
        </is>
      </c>
      <c r="I5" s="27" t="n"/>
      <c r="J5" s="28" t="n"/>
      <c r="K5" s="1" t="n"/>
      <c r="L5" s="29" t="n"/>
      <c r="M5" s="30" t="inlineStr">
        <is>
          <t>falabella</t>
        </is>
      </c>
      <c r="N5" s="30" t="inlineStr">
        <is>
          <t>solo quieren digital y buscan diferencia más alla de un e-commerce</t>
        </is>
      </c>
      <c r="O5" s="31" t="n"/>
      <c r="P5" s="4" t="n"/>
      <c r="Q5" s="32" t="n"/>
      <c r="R5" s="33" t="inlineStr">
        <is>
          <t>ALCIAUTOS</t>
        </is>
      </c>
      <c r="S5" s="33" t="n"/>
      <c r="T5" s="34" t="n"/>
      <c r="U5" s="4" t="n"/>
      <c r="V5" s="35" t="n"/>
      <c r="W5" s="36" t="inlineStr">
        <is>
          <t>coca-cola</t>
        </is>
      </c>
      <c r="X5" s="19" t="n"/>
      <c r="Y5" s="37" t="n"/>
    </row>
    <row r="6" ht="21.75" customHeight="1">
      <c r="B6" s="21" t="n"/>
      <c r="C6" s="22" t="inlineStr">
        <is>
          <t>cafam</t>
        </is>
      </c>
      <c r="D6" s="22" t="n"/>
      <c r="E6" s="38" t="n"/>
      <c r="F6" s="4" t="n"/>
      <c r="G6" s="39" t="n"/>
      <c r="H6" s="27" t="inlineStr">
        <is>
          <t>cencosud</t>
        </is>
      </c>
      <c r="I6" s="27" t="n"/>
      <c r="J6" s="40" t="n"/>
      <c r="K6" s="4" t="n"/>
      <c r="L6" s="29" t="n"/>
      <c r="M6" s="30" t="inlineStr">
        <is>
          <t>Claro</t>
        </is>
      </c>
      <c r="N6" s="30" t="inlineStr">
        <is>
          <t>e-commerce / venta digital, tecnologia, ciberseguridad, servisios de fibra, facturacion electronica</t>
        </is>
      </c>
      <c r="O6" s="31" t="n"/>
      <c r="P6" s="4" t="n"/>
      <c r="Q6" s="32" t="n"/>
      <c r="R6" s="33" t="inlineStr">
        <is>
          <t>ALLIANZ SEGUROS</t>
        </is>
      </c>
      <c r="S6" s="33" t="n"/>
      <c r="T6" s="34" t="n"/>
      <c r="U6" s="4" t="n"/>
      <c r="V6" s="35" t="n"/>
      <c r="W6" s="36" t="inlineStr">
        <is>
          <t>bavaria</t>
        </is>
      </c>
      <c r="X6" s="19" t="n"/>
      <c r="Y6" s="37" t="n"/>
    </row>
    <row r="7" ht="21.75" customHeight="1">
      <c r="B7" s="21" t="n"/>
      <c r="C7" s="22" t="inlineStr">
        <is>
          <t>amazon / logistica / e-commerce /  servicios</t>
        </is>
      </c>
      <c r="D7" s="22" t="n"/>
      <c r="E7" s="38" t="n"/>
      <c r="F7" s="4" t="n"/>
      <c r="G7" s="39" t="n"/>
      <c r="H7" s="27" t="inlineStr">
        <is>
          <t>jumbo</t>
        </is>
      </c>
      <c r="I7" s="27" t="n"/>
      <c r="J7" s="40" t="n"/>
      <c r="K7" s="4" t="n"/>
      <c r="L7" s="29" t="n"/>
      <c r="M7" s="30" t="inlineStr">
        <is>
          <t>Politecnico</t>
        </is>
      </c>
      <c r="N7" s="30" t="inlineStr">
        <is>
          <t>Leads - calidad - no registro - matricula</t>
        </is>
      </c>
      <c r="O7" s="31" t="n"/>
      <c r="P7" s="4" t="n"/>
      <c r="Q7" s="32" t="n"/>
      <c r="R7" s="33" t="inlineStr">
        <is>
          <t>AUTOGERMANA</t>
        </is>
      </c>
      <c r="S7" s="33" t="n"/>
      <c r="T7" s="34" t="n"/>
      <c r="U7" s="4" t="n"/>
      <c r="V7" s="35" t="n"/>
      <c r="W7" s="36" t="inlineStr">
        <is>
          <t>movistar</t>
        </is>
      </c>
      <c r="X7" s="19" t="n"/>
      <c r="Y7" s="37" t="n"/>
    </row>
    <row r="8" ht="21.75" customHeight="1">
      <c r="B8" s="21" t="n"/>
      <c r="C8" s="22" t="inlineStr">
        <is>
          <t>koala</t>
        </is>
      </c>
      <c r="D8" s="22" t="n"/>
      <c r="E8" s="38" t="n"/>
      <c r="F8" s="4" t="n"/>
      <c r="G8" s="39" t="n"/>
      <c r="H8" s="27" t="inlineStr">
        <is>
          <t>vanti</t>
        </is>
      </c>
      <c r="I8" s="27" t="n"/>
      <c r="J8" s="40" t="n"/>
      <c r="K8" s="4" t="n"/>
      <c r="L8" s="29" t="n"/>
      <c r="M8" s="30" t="inlineStr">
        <is>
          <t>corona</t>
        </is>
      </c>
      <c r="N8" s="30" t="inlineStr">
        <is>
          <t xml:space="preserve">este año su campaña es muy visual NSE alto / se le ha ofrecido figital pero no les gusta </t>
        </is>
      </c>
      <c r="O8" s="31" t="n"/>
      <c r="P8" s="4" t="n"/>
      <c r="Q8" s="32" t="n"/>
      <c r="R8" s="33" t="inlineStr">
        <is>
          <t>BBVA</t>
        </is>
      </c>
      <c r="S8" s="33" t="n"/>
      <c r="T8" s="34" t="n"/>
      <c r="U8" s="4" t="n"/>
      <c r="V8" s="35" t="n"/>
      <c r="W8" s="36" t="inlineStr">
        <is>
          <t>decathlon</t>
        </is>
      </c>
      <c r="X8" s="19" t="n"/>
      <c r="Y8" s="37" t="n"/>
    </row>
    <row r="9" ht="21.75" customHeight="1">
      <c r="B9" s="21" t="n"/>
      <c r="C9" s="22" t="inlineStr">
        <is>
          <t>nissan</t>
        </is>
      </c>
      <c r="D9" s="22" t="inlineStr">
        <is>
          <t>que tenemos para automotriz</t>
        </is>
      </c>
      <c r="E9" s="38" t="n"/>
      <c r="F9" s="4" t="n"/>
      <c r="G9" s="39" t="n"/>
      <c r="H9" s="27" t="inlineStr">
        <is>
          <t>davivienda</t>
        </is>
      </c>
      <c r="I9" s="27" t="n"/>
      <c r="J9" s="40" t="n"/>
      <c r="K9" s="4" t="n"/>
      <c r="L9" s="29" t="n"/>
      <c r="M9" s="30" t="inlineStr">
        <is>
          <t>U area andina</t>
        </is>
      </c>
      <c r="N9" s="30" t="inlineStr">
        <is>
          <t>Leads - calidad x inscripciones</t>
        </is>
      </c>
      <c r="O9" s="31" t="n"/>
      <c r="P9" s="4" t="n"/>
      <c r="Q9" s="32" t="n"/>
      <c r="R9" s="33" t="inlineStr">
        <is>
          <t>BAT - BRITSH AMERICAN TOBACCO</t>
        </is>
      </c>
      <c r="S9" s="33" t="n"/>
      <c r="T9" s="34" t="n"/>
      <c r="U9" s="4" t="n"/>
      <c r="V9" s="35" t="n"/>
      <c r="W9" s="36" t="inlineStr">
        <is>
          <t>compensar</t>
        </is>
      </c>
      <c r="X9" s="19" t="n"/>
      <c r="Y9" s="37" t="n"/>
    </row>
    <row r="10" ht="31.5" customHeight="1">
      <c r="B10" s="21" t="n"/>
      <c r="C10" s="22" t="inlineStr">
        <is>
          <t>porche</t>
        </is>
      </c>
      <c r="D10" s="22" t="n"/>
      <c r="E10" s="38" t="n"/>
      <c r="F10" s="4" t="n"/>
      <c r="G10" s="41" t="n"/>
      <c r="H10" s="42" t="inlineStr">
        <is>
          <t>un bank</t>
        </is>
      </c>
      <c r="I10" s="42" t="n"/>
      <c r="J10" s="43" t="n"/>
      <c r="K10" s="4" t="n"/>
      <c r="L10" s="29" t="n"/>
      <c r="M10" s="30" t="inlineStr">
        <is>
          <t>Motai</t>
        </is>
      </c>
      <c r="N10" s="30" t="inlineStr">
        <is>
          <t>es un app para comprar Moto facil, la idea es mostrar como  es de facil adquirir su moto. Preosupesto bajo</t>
        </is>
      </c>
      <c r="O10" s="31" t="n"/>
      <c r="P10" s="4" t="n"/>
      <c r="Q10" s="32" t="n"/>
      <c r="R10" s="33" t="inlineStr">
        <is>
          <t>BROWN FORMAN</t>
        </is>
      </c>
      <c r="S10" s="33" t="n"/>
      <c r="T10" s="34" t="n"/>
      <c r="U10" s="4" t="n"/>
      <c r="V10" s="35" t="n"/>
      <c r="W10" s="36" t="inlineStr">
        <is>
          <t>Rappi</t>
        </is>
      </c>
      <c r="X10" s="44" t="inlineStr">
        <is>
          <t>necesitan incrementar su ticket diario</t>
        </is>
      </c>
      <c r="Y10" s="37" t="n"/>
    </row>
    <row r="11" ht="66.75" customHeight="1">
      <c r="B11" s="21" t="n"/>
      <c r="C11" s="22" t="inlineStr">
        <is>
          <t>samsung</t>
        </is>
      </c>
      <c r="D11" s="22" t="n"/>
      <c r="E11" s="38" t="n"/>
      <c r="F11" s="4" t="n"/>
      <c r="G11" s="45" t="inlineStr">
        <is>
          <t>ESTADO</t>
        </is>
      </c>
      <c r="H11" s="279" t="n"/>
      <c r="I11" s="250" t="n"/>
      <c r="J11" s="251" t="n"/>
      <c r="K11" s="46" t="n"/>
      <c r="L11" s="47" t="n"/>
      <c r="M11" s="30" t="inlineStr">
        <is>
          <t>paramo</t>
        </is>
      </c>
      <c r="N11" s="30" t="inlineStr">
        <is>
          <t>solo nos ven como radio pero hacen pauta en otro lado, necesitamos vendernos como plataforma digital</t>
        </is>
      </c>
      <c r="O11" s="31" t="n"/>
      <c r="P11" s="4" t="n"/>
      <c r="Q11" s="48" t="n"/>
      <c r="R11" s="33" t="inlineStr">
        <is>
          <t>CASTROL</t>
        </is>
      </c>
      <c r="S11" s="33" t="n"/>
      <c r="T11" s="34" t="n"/>
      <c r="U11" s="49" t="n"/>
      <c r="V11" s="50" t="n"/>
      <c r="W11" s="36" t="inlineStr">
        <is>
          <t>construtoras planificadas</t>
        </is>
      </c>
      <c r="X11" s="51" t="inlineStr">
        <is>
          <t>con que estrategia podriamos dar a conocer más a fondo los proyectos inmobiliarios que tienen</t>
        </is>
      </c>
      <c r="Y11" s="37" t="n"/>
    </row>
    <row r="12" ht="21.75" customHeight="1">
      <c r="B12" s="21" t="n"/>
      <c r="C12" s="22" t="inlineStr">
        <is>
          <t>plexi</t>
        </is>
      </c>
      <c r="D12" s="22" t="n"/>
      <c r="E12" s="38" t="n"/>
      <c r="F12" s="4" t="n"/>
      <c r="G12" s="52" t="inlineStr">
        <is>
          <t>PRIORIDAD</t>
        </is>
      </c>
      <c r="H12" s="40" t="inlineStr">
        <is>
          <t xml:space="preserve">Alta </t>
        </is>
      </c>
      <c r="I12" s="265" t="n"/>
      <c r="J12" s="266" t="n"/>
      <c r="K12" s="4" t="n"/>
      <c r="L12" s="53" t="n"/>
      <c r="M12" s="54" t="n"/>
      <c r="N12" s="54" t="n"/>
      <c r="O12" s="55" t="n"/>
      <c r="P12" s="4" t="n"/>
      <c r="Q12" s="32" t="n"/>
      <c r="R12" s="33" t="inlineStr">
        <is>
          <t>CODERE COLOMBIA</t>
        </is>
      </c>
      <c r="S12" s="33" t="n"/>
      <c r="T12" s="34" t="n"/>
      <c r="U12" s="4" t="n"/>
      <c r="V12" s="35" t="n"/>
      <c r="W12" s="36" t="inlineStr">
        <is>
          <t>banco de occidente</t>
        </is>
      </c>
      <c r="X12" s="56" t="inlineStr">
        <is>
          <t>llevan mas de un año sin comprar. Cuenta de ahorros que renta, inversion colombianos</t>
        </is>
      </c>
      <c r="Y12" s="37" t="n"/>
    </row>
    <row r="13" ht="63" customHeight="1">
      <c r="B13" s="21" t="n"/>
      <c r="C13" s="22" t="inlineStr">
        <is>
          <t>primax</t>
        </is>
      </c>
      <c r="D13" s="22" t="n"/>
      <c r="E13" s="38" t="n"/>
      <c r="F13" s="4" t="n"/>
      <c r="G13" s="52" t="inlineStr">
        <is>
          <t>PLAN DE ACCIÓN 1</t>
        </is>
      </c>
      <c r="H13" s="28" t="n"/>
      <c r="I13" s="265" t="n"/>
      <c r="J13" s="266" t="n"/>
      <c r="K13" s="4" t="n"/>
      <c r="L13" s="57" t="inlineStr">
        <is>
          <t>ESTADO</t>
        </is>
      </c>
      <c r="M13" s="280" t="n"/>
      <c r="N13" s="253" t="n"/>
      <c r="O13" s="254" t="n"/>
      <c r="P13" s="4" t="n"/>
      <c r="Q13" s="32" t="n"/>
      <c r="R13" s="33" t="inlineStr">
        <is>
          <t>COLCAN - VITALEA LAB</t>
        </is>
      </c>
      <c r="S13" s="33" t="n"/>
      <c r="T13" s="34" t="n"/>
      <c r="U13" s="4" t="n"/>
      <c r="V13" s="58" t="n"/>
      <c r="W13" s="59" t="n"/>
      <c r="X13" s="60" t="n"/>
      <c r="Y13" s="61" t="n"/>
    </row>
    <row r="14" ht="64.5" customHeight="1">
      <c r="B14" s="21" t="n"/>
      <c r="C14" s="22" t="inlineStr">
        <is>
          <t>colsanitas</t>
        </is>
      </c>
      <c r="D14" s="22" t="n"/>
      <c r="E14" s="38" t="n"/>
      <c r="F14" s="4" t="n"/>
      <c r="G14" s="52" t="inlineStr">
        <is>
          <t>PLAN DE ACCIÓN 2</t>
        </is>
      </c>
      <c r="H14" s="28" t="n"/>
      <c r="I14" s="265" t="n"/>
      <c r="J14" s="266" t="n"/>
      <c r="K14" s="4" t="n"/>
      <c r="L14" s="62" t="inlineStr">
        <is>
          <t>PRIORIDAD</t>
        </is>
      </c>
      <c r="M14" s="31" t="inlineStr">
        <is>
          <t xml:space="preserve">Alta </t>
        </is>
      </c>
      <c r="N14" s="268" t="n"/>
      <c r="O14" s="269" t="n"/>
      <c r="P14" s="46" t="n"/>
      <c r="Q14" s="32" t="n"/>
      <c r="R14" s="33" t="inlineStr">
        <is>
          <t>COVINOC</t>
        </is>
      </c>
      <c r="S14" s="33" t="n"/>
      <c r="T14" s="34" t="n"/>
      <c r="U14" s="4" t="n"/>
      <c r="V14" s="63" t="inlineStr">
        <is>
          <t>ESTADO</t>
        </is>
      </c>
      <c r="W14" s="281" t="n"/>
      <c r="X14" s="259" t="n"/>
      <c r="Y14" s="260" t="n"/>
    </row>
    <row r="15" ht="21.75" customHeight="1">
      <c r="B15" s="21" t="n"/>
      <c r="C15" s="22" t="inlineStr">
        <is>
          <t>proseguro</t>
        </is>
      </c>
      <c r="D15" s="22" t="n"/>
      <c r="E15" s="38" t="n"/>
      <c r="F15" s="4" t="n"/>
      <c r="G15" s="52" t="inlineStr">
        <is>
          <t>PLAN DE ACCIÓN 3</t>
        </is>
      </c>
      <c r="H15" s="28" t="n"/>
      <c r="I15" s="265" t="n"/>
      <c r="J15" s="266" t="n"/>
      <c r="K15" s="4" t="n"/>
      <c r="L15" s="62" t="inlineStr">
        <is>
          <t>PLAN DE ACCIÓN 1</t>
        </is>
      </c>
      <c r="M15" s="282" t="n"/>
      <c r="N15" s="268" t="n"/>
      <c r="O15" s="269" t="n"/>
      <c r="P15" s="4" t="n"/>
      <c r="Q15" s="32" t="n"/>
      <c r="R15" s="33" t="inlineStr">
        <is>
          <t>COVO</t>
        </is>
      </c>
      <c r="S15" s="33" t="n"/>
      <c r="T15" s="34" t="n"/>
      <c r="U15" s="4" t="n"/>
      <c r="V15" s="64" t="inlineStr">
        <is>
          <t>PRIORIDAD</t>
        </is>
      </c>
      <c r="W15" s="283" t="inlineStr">
        <is>
          <t xml:space="preserve">Alta </t>
        </is>
      </c>
      <c r="X15" s="274" t="n"/>
      <c r="Y15" s="275" t="n"/>
    </row>
    <row r="16" ht="58.5" customHeight="1">
      <c r="B16" s="21" t="n"/>
      <c r="C16" s="22" t="inlineStr">
        <is>
          <t>adidas</t>
        </is>
      </c>
      <c r="D16" s="22" t="n"/>
      <c r="E16" s="38" t="n"/>
      <c r="F16" s="4" t="n"/>
      <c r="G16" s="52" t="inlineStr">
        <is>
          <t>RESULTADO ESPERADO</t>
        </is>
      </c>
      <c r="H16" s="28" t="n"/>
      <c r="I16" s="265" t="n"/>
      <c r="J16" s="266" t="n"/>
      <c r="K16" s="4" t="n"/>
      <c r="L16" s="62" t="inlineStr">
        <is>
          <t>PLAN DE ACCIÓN 2</t>
        </is>
      </c>
      <c r="M16" s="282" t="n"/>
      <c r="N16" s="268" t="n"/>
      <c r="O16" s="269" t="n"/>
      <c r="P16" s="4" t="n"/>
      <c r="Q16" s="32" t="n"/>
      <c r="R16" s="33" t="inlineStr">
        <is>
          <t>EGALITE</t>
        </is>
      </c>
      <c r="S16" s="33" t="n"/>
      <c r="T16" s="34" t="n"/>
      <c r="U16" s="4" t="n"/>
      <c r="V16" s="64" t="inlineStr">
        <is>
          <t>PLAN DE ACCIÓN 1</t>
        </is>
      </c>
      <c r="W16" s="37" t="n"/>
      <c r="X16" s="274" t="n"/>
      <c r="Y16" s="275" t="n"/>
    </row>
    <row r="17" ht="21.75" customHeight="1">
      <c r="B17" s="21" t="n"/>
      <c r="C17" s="22" t="inlineStr">
        <is>
          <t>kellogs</t>
        </is>
      </c>
      <c r="D17" s="22" t="n"/>
      <c r="E17" s="38" t="n"/>
      <c r="F17" s="4" t="n"/>
      <c r="G17" s="65" t="inlineStr">
        <is>
          <t>VENTAS ESTIMADAS</t>
        </is>
      </c>
      <c r="H17" s="284" t="inlineStr">
        <is>
          <t>Pendiente</t>
        </is>
      </c>
      <c r="I17" s="285" t="n"/>
      <c r="J17" s="286" t="n"/>
      <c r="K17" s="4" t="n"/>
      <c r="L17" s="62" t="inlineStr">
        <is>
          <t>PLAN DE ACCIÓN 3</t>
        </is>
      </c>
      <c r="M17" s="282" t="n"/>
      <c r="N17" s="268" t="n"/>
      <c r="O17" s="269" t="n"/>
      <c r="P17" s="4" t="n"/>
      <c r="Q17" s="32" t="n"/>
      <c r="R17" s="33" t="inlineStr">
        <is>
          <t>FORD</t>
        </is>
      </c>
      <c r="S17" s="33" t="n"/>
      <c r="T17" s="34" t="n"/>
      <c r="U17" s="4" t="n"/>
      <c r="V17" s="64" t="inlineStr">
        <is>
          <t>PLAN DE ACCIÓN 2</t>
        </is>
      </c>
      <c r="W17" s="37" t="n"/>
      <c r="X17" s="274" t="n"/>
      <c r="Y17" s="275" t="n"/>
    </row>
    <row r="18" ht="21.75" customHeight="1">
      <c r="B18" s="21" t="n"/>
      <c r="C18" s="22" t="inlineStr">
        <is>
          <t>ajinomoto</t>
        </is>
      </c>
      <c r="D18" s="22" t="n"/>
      <c r="E18" s="38" t="n"/>
      <c r="F18" s="4" t="n"/>
      <c r="G18" s="1" t="n"/>
      <c r="H18" s="1" t="n"/>
      <c r="I18" s="1" t="n"/>
      <c r="J18" s="1" t="n"/>
      <c r="K18" s="1" t="n"/>
      <c r="L18" s="62" t="inlineStr">
        <is>
          <t>RESULTADO ESPERADO</t>
        </is>
      </c>
      <c r="M18" s="282" t="n"/>
      <c r="N18" s="268" t="n"/>
      <c r="O18" s="269" t="n"/>
      <c r="P18" s="4" t="n"/>
      <c r="Q18" s="66" t="n"/>
      <c r="R18" s="67" t="inlineStr">
        <is>
          <t>GENCELL</t>
        </is>
      </c>
      <c r="S18" s="67" t="n"/>
      <c r="T18" s="68" t="n"/>
      <c r="U18" s="1" t="n"/>
      <c r="V18" s="64" t="inlineStr">
        <is>
          <t>PLAN DE ACCIÓN 3</t>
        </is>
      </c>
      <c r="W18" s="37" t="n"/>
      <c r="X18" s="274" t="n"/>
      <c r="Y18" s="275" t="n"/>
    </row>
    <row r="19" ht="22.5" customHeight="1">
      <c r="B19" s="21" t="n"/>
      <c r="C19" s="22" t="inlineStr">
        <is>
          <t>knorr</t>
        </is>
      </c>
      <c r="D19" s="22" t="n"/>
      <c r="E19" s="38" t="n"/>
      <c r="F19" s="4" t="n"/>
      <c r="G19" s="1" t="n"/>
      <c r="H19" s="1" t="n"/>
      <c r="I19" s="1" t="n"/>
      <c r="J19" s="1" t="n"/>
      <c r="K19" s="1" t="n"/>
      <c r="L19" s="69" t="inlineStr">
        <is>
          <t>VENTAS ESTIMADAS</t>
        </is>
      </c>
      <c r="M19" s="287" t="inlineStr">
        <is>
          <t>Pendiente</t>
        </is>
      </c>
      <c r="N19" s="288" t="n"/>
      <c r="O19" s="289" t="n"/>
      <c r="P19" s="4" t="n"/>
      <c r="Q19" s="66" t="n"/>
      <c r="R19" s="67" t="inlineStr">
        <is>
          <t>ISHOP</t>
        </is>
      </c>
      <c r="S19" s="67" t="n"/>
      <c r="T19" s="68" t="n"/>
      <c r="U19" s="1" t="n"/>
      <c r="V19" s="64" t="inlineStr">
        <is>
          <t>RESULTADO ESPERADO</t>
        </is>
      </c>
      <c r="W19" s="37" t="n"/>
      <c r="X19" s="274" t="n"/>
      <c r="Y19" s="275" t="n"/>
    </row>
    <row r="20" ht="21.75" customHeight="1">
      <c r="B20" s="21" t="n"/>
      <c r="C20" s="22" t="inlineStr">
        <is>
          <t>supermercado makro</t>
        </is>
      </c>
      <c r="D20" s="22" t="n"/>
      <c r="E20" s="38" t="n"/>
      <c r="F20" s="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4" t="n"/>
      <c r="Q20" s="66" t="n"/>
      <c r="R20" s="70" t="inlineStr">
        <is>
          <t>KFC - INVERSIONES INT COLOMBIA</t>
        </is>
      </c>
      <c r="S20" s="67" t="n"/>
      <c r="T20" s="68" t="n"/>
      <c r="U20" s="1" t="n"/>
      <c r="V20" s="71" t="inlineStr">
        <is>
          <t>VENTAS ESTIMADAS</t>
        </is>
      </c>
      <c r="W20" s="290" t="inlineStr">
        <is>
          <t>Pendiente</t>
        </is>
      </c>
      <c r="X20" s="291" t="n"/>
      <c r="Y20" s="292" t="n"/>
    </row>
    <row r="21" ht="21.75" customHeight="1">
      <c r="B21" s="21" t="n"/>
      <c r="C21" s="22" t="inlineStr">
        <is>
          <t>casaluke</t>
        </is>
      </c>
      <c r="D21" s="22" t="n"/>
      <c r="E21" s="38" t="n"/>
      <c r="F21" s="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66" t="n"/>
      <c r="R21" s="67" t="inlineStr">
        <is>
          <t>MAZDA</t>
        </is>
      </c>
      <c r="S21" s="67" t="n"/>
      <c r="T21" s="68" t="n"/>
      <c r="U21" s="1" t="n"/>
      <c r="V21" s="1" t="n"/>
      <c r="W21" s="1" t="n"/>
      <c r="X21" s="1" t="n"/>
      <c r="Y21" s="1" t="n"/>
    </row>
    <row r="22" ht="21.75" customHeight="1">
      <c r="B22" s="21" t="n"/>
      <c r="C22" s="22" t="inlineStr">
        <is>
          <t>alqueria</t>
        </is>
      </c>
      <c r="D22" s="22" t="n"/>
      <c r="E22" s="38" t="n"/>
      <c r="F22" s="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66" t="n"/>
      <c r="R22" s="67" t="inlineStr">
        <is>
          <t>MEDPLUS</t>
        </is>
      </c>
      <c r="S22" s="67" t="n"/>
      <c r="T22" s="68" t="n"/>
      <c r="U22" s="1" t="n"/>
      <c r="V22" s="1" t="n"/>
      <c r="W22" s="1" t="n"/>
      <c r="X22" s="1" t="n"/>
      <c r="Y22" s="1" t="n"/>
    </row>
    <row r="23" ht="21.75" customHeight="1">
      <c r="B23" s="21" t="n"/>
      <c r="C23" s="22" t="inlineStr">
        <is>
          <t>volvo</t>
        </is>
      </c>
      <c r="D23" s="22" t="n"/>
      <c r="E23" s="38" t="n"/>
      <c r="F23" s="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66" t="n"/>
      <c r="R23" s="67" t="inlineStr">
        <is>
          <t>PASH - OSTU</t>
        </is>
      </c>
      <c r="S23" s="67" t="n"/>
      <c r="T23" s="68" t="n"/>
      <c r="U23" s="1" t="n"/>
      <c r="V23" s="1" t="n"/>
      <c r="W23" s="1" t="n"/>
      <c r="X23" s="1" t="n"/>
      <c r="Y23" s="1" t="n"/>
    </row>
    <row r="24" ht="21.75" customHeight="1">
      <c r="B24" s="21" t="n"/>
      <c r="C24" s="22" t="inlineStr">
        <is>
          <t>caja social</t>
        </is>
      </c>
      <c r="D24" s="22" t="n"/>
      <c r="E24" s="38" t="n"/>
      <c r="F24" s="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66" t="n"/>
      <c r="R24" s="67" t="inlineStr">
        <is>
          <t>PAVCO</t>
        </is>
      </c>
      <c r="S24" s="67" t="n"/>
      <c r="T24" s="68" t="n"/>
      <c r="U24" s="1" t="n"/>
      <c r="V24" s="1" t="n"/>
      <c r="W24" s="1" t="n"/>
      <c r="X24" s="1" t="n"/>
      <c r="Y24" s="1" t="n"/>
    </row>
    <row r="25" ht="21.75" customHeight="1">
      <c r="B25" s="21" t="n"/>
      <c r="C25" s="22" t="inlineStr">
        <is>
          <t xml:space="preserve">arturo calle </t>
        </is>
      </c>
      <c r="D25" s="22" t="n"/>
      <c r="E25" s="38" t="n"/>
      <c r="F25" s="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66" t="n"/>
      <c r="R25" s="67" t="inlineStr">
        <is>
          <t>PAX ASSISTANCE</t>
        </is>
      </c>
      <c r="S25" s="67" t="n"/>
      <c r="T25" s="68" t="n"/>
      <c r="U25" s="1" t="n"/>
      <c r="V25" s="1" t="n"/>
      <c r="W25" s="1" t="n"/>
      <c r="X25" s="1" t="n"/>
      <c r="Y25" s="1" t="n"/>
    </row>
    <row r="26" ht="21.75" customHeight="1">
      <c r="B26" s="21" t="n"/>
      <c r="C26" s="22" t="inlineStr">
        <is>
          <t>ramo</t>
        </is>
      </c>
      <c r="D26" s="22" t="n"/>
      <c r="E26" s="38" t="n"/>
      <c r="F26" s="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66" t="n"/>
      <c r="R26" s="67" t="inlineStr">
        <is>
          <t>SC JOHNSON</t>
        </is>
      </c>
      <c r="S26" s="67" t="n"/>
      <c r="T26" s="68" t="n"/>
      <c r="U26" s="1" t="n"/>
      <c r="V26" s="1" t="n"/>
      <c r="W26" s="1" t="n"/>
      <c r="X26" s="1" t="n"/>
      <c r="Y26" s="1" t="n"/>
    </row>
    <row r="27" ht="21.75" customHeight="1">
      <c r="B27" s="21" t="n"/>
      <c r="C27" s="22" t="inlineStr">
        <is>
          <t>spotify</t>
        </is>
      </c>
      <c r="D27" s="22" t="n"/>
      <c r="E27" s="38" t="n"/>
      <c r="F27" s="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66" t="n"/>
      <c r="R27" s="67" t="inlineStr">
        <is>
          <t>SIKA</t>
        </is>
      </c>
      <c r="S27" s="67" t="n"/>
      <c r="T27" s="68" t="n"/>
      <c r="U27" s="1" t="n"/>
      <c r="V27" s="1" t="n"/>
      <c r="W27" s="1" t="n"/>
      <c r="X27" s="1" t="n"/>
      <c r="Y27" s="1" t="n"/>
    </row>
    <row r="28" ht="21.75" customHeight="1">
      <c r="B28" s="72" t="n"/>
      <c r="C28" s="73" t="n"/>
      <c r="D28" s="74" t="n"/>
      <c r="E28" s="75" t="n"/>
      <c r="F28" s="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66" t="n"/>
      <c r="R28" s="67" t="inlineStr">
        <is>
          <t>UIP</t>
        </is>
      </c>
      <c r="S28" s="67" t="n"/>
      <c r="T28" s="68" t="n"/>
      <c r="U28" s="1" t="n"/>
      <c r="V28" s="1" t="n"/>
      <c r="W28" s="1" t="n"/>
      <c r="X28" s="1" t="n"/>
      <c r="Y28" s="1" t="n"/>
    </row>
    <row r="29" ht="61.5" customHeight="1">
      <c r="B29" s="76" t="inlineStr">
        <is>
          <t>ESTADO</t>
        </is>
      </c>
      <c r="C29" s="293" t="n"/>
      <c r="D29" s="247" t="n"/>
      <c r="E29" s="248" t="n"/>
      <c r="F29" s="46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66" t="n"/>
      <c r="R29" s="67" t="inlineStr">
        <is>
          <t>URBANSA</t>
        </is>
      </c>
      <c r="S29" s="67" t="n"/>
      <c r="T29" s="68" t="n"/>
      <c r="U29" s="1" t="n"/>
      <c r="V29" s="1" t="n"/>
      <c r="W29" s="1" t="n"/>
      <c r="X29" s="1" t="n"/>
      <c r="Y29" s="1" t="n"/>
    </row>
    <row r="30" ht="21.75" customHeight="1">
      <c r="B30" s="77" t="inlineStr">
        <is>
          <t>PRIORIDAD</t>
        </is>
      </c>
      <c r="C30" s="38" t="inlineStr">
        <is>
          <t xml:space="preserve">Alta </t>
        </is>
      </c>
      <c r="D30" s="262" t="n"/>
      <c r="E30" s="263" t="n"/>
      <c r="F30" s="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78" t="n"/>
      <c r="R30" s="79" t="inlineStr">
        <is>
          <t>WIN SPORTS</t>
        </is>
      </c>
      <c r="S30" s="79" t="n"/>
      <c r="T30" s="80" t="n"/>
      <c r="U30" s="1" t="n"/>
      <c r="V30" s="1" t="n"/>
      <c r="W30" s="1" t="n"/>
      <c r="X30" s="1" t="n"/>
      <c r="Y30" s="1" t="n"/>
    </row>
    <row r="31" ht="63" customHeight="1">
      <c r="B31" s="77" t="inlineStr">
        <is>
          <t>PLAN DE ACCIÓN 1</t>
        </is>
      </c>
      <c r="C31" s="24" t="n"/>
      <c r="D31" s="262" t="n"/>
      <c r="E31" s="263" t="n"/>
      <c r="F31" s="4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81" t="inlineStr">
        <is>
          <t>ESTADO</t>
        </is>
      </c>
      <c r="R31" s="294" t="n"/>
      <c r="S31" s="256" t="n"/>
      <c r="T31" s="257" t="n"/>
      <c r="U31" s="1" t="n"/>
      <c r="V31" s="1" t="n"/>
      <c r="W31" s="1" t="n"/>
      <c r="X31" s="1" t="n"/>
      <c r="Y31" s="1" t="n"/>
    </row>
    <row r="32" ht="21.75" customHeight="1">
      <c r="B32" s="77" t="inlineStr">
        <is>
          <t>PLAN DE ACCIÓN 2</t>
        </is>
      </c>
      <c r="C32" s="24" t="n"/>
      <c r="D32" s="262" t="n"/>
      <c r="E32" s="263" t="n"/>
      <c r="F32" s="4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82" t="inlineStr">
        <is>
          <t>PRIORIDAD</t>
        </is>
      </c>
      <c r="R32" s="34" t="inlineStr">
        <is>
          <t xml:space="preserve">Alta </t>
        </is>
      </c>
      <c r="S32" s="271" t="n"/>
      <c r="T32" s="272" t="n"/>
      <c r="U32" s="1" t="n"/>
      <c r="V32" s="1" t="n"/>
      <c r="W32" s="1" t="n"/>
      <c r="X32" s="1" t="n"/>
      <c r="Y32" s="1" t="n"/>
    </row>
    <row r="33" ht="21.75" customHeight="1">
      <c r="B33" s="77" t="inlineStr">
        <is>
          <t>PLAN DE ACCIÓN 3</t>
        </is>
      </c>
      <c r="C33" s="24" t="n"/>
      <c r="D33" s="262" t="n"/>
      <c r="E33" s="263" t="n"/>
      <c r="F33" s="4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82" t="inlineStr">
        <is>
          <t>PLAN DE ACCIÓN 1</t>
        </is>
      </c>
      <c r="R33" s="68" t="n"/>
      <c r="S33" s="271" t="n"/>
      <c r="T33" s="272" t="n"/>
      <c r="U33" s="1" t="n"/>
      <c r="V33" s="1" t="n"/>
      <c r="W33" s="1" t="n"/>
      <c r="X33" s="1" t="n"/>
      <c r="Y33" s="1" t="n"/>
    </row>
    <row r="34" ht="21.75" customHeight="1">
      <c r="B34" s="77" t="inlineStr">
        <is>
          <t>RESULTADO ESPERADO</t>
        </is>
      </c>
      <c r="C34" s="24" t="n"/>
      <c r="D34" s="262" t="n"/>
      <c r="E34" s="263" t="n"/>
      <c r="F34" s="4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82" t="inlineStr">
        <is>
          <t>PLAN DE ACCIÓN 2</t>
        </is>
      </c>
      <c r="R34" s="68" t="n"/>
      <c r="S34" s="271" t="n"/>
      <c r="T34" s="272" t="n"/>
      <c r="U34" s="1" t="n"/>
      <c r="V34" s="1" t="n"/>
      <c r="W34" s="1" t="n"/>
      <c r="X34" s="1" t="n"/>
      <c r="Y34" s="1" t="n"/>
    </row>
    <row r="35" ht="21.75" customHeight="1">
      <c r="B35" s="83" t="inlineStr">
        <is>
          <t>VENTAS ESTIMADAS</t>
        </is>
      </c>
      <c r="C35" s="295" t="inlineStr">
        <is>
          <t>Pendiente</t>
        </is>
      </c>
      <c r="D35" s="296" t="n"/>
      <c r="E35" s="297" t="n"/>
      <c r="F35" s="4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82" t="inlineStr">
        <is>
          <t>PLAN DE ACCIÓN 3</t>
        </is>
      </c>
      <c r="R35" s="68" t="n"/>
      <c r="S35" s="271" t="n"/>
      <c r="T35" s="272" t="n"/>
      <c r="U35" s="1" t="n"/>
      <c r="V35" s="1" t="n"/>
      <c r="W35" s="1" t="n"/>
      <c r="X35" s="1" t="n"/>
      <c r="Y35" s="1" t="n"/>
    </row>
    <row r="36" ht="21.75" customHeight="1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82" t="inlineStr">
        <is>
          <t>RESULTADO ESPERADO</t>
        </is>
      </c>
      <c r="R36" s="68" t="n"/>
      <c r="S36" s="271" t="n"/>
      <c r="T36" s="272" t="n"/>
      <c r="U36" s="1" t="n"/>
      <c r="V36" s="1" t="n"/>
      <c r="W36" s="1" t="n"/>
      <c r="X36" s="1" t="n"/>
      <c r="Y36" s="1" t="n"/>
    </row>
    <row r="37" ht="21.75" customHeight="1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84" t="inlineStr">
        <is>
          <t>VENTAS ESTIMADAS</t>
        </is>
      </c>
      <c r="R37" s="298" t="inlineStr">
        <is>
          <t>Pendiente</t>
        </is>
      </c>
      <c r="S37" s="299" t="n"/>
      <c r="T37" s="300" t="n"/>
      <c r="U37" s="1" t="n"/>
      <c r="V37" s="1" t="n"/>
      <c r="W37" s="1" t="n"/>
      <c r="X37" s="1" t="n"/>
      <c r="Y37" s="1" t="n"/>
    </row>
    <row r="38" ht="21.75" customHeight="1"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21.75" customHeight="1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21.75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21.75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21.75" customHeight="1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21.75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21.75" customHeight="1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21.75" customHeight="1"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21.75" customHeight="1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21.75" customHeight="1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21.75" customHeight="1"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21.75" customHeight="1"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21.75" customHeight="1"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21.75" customHeight="1"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21.75" customHeight="1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21.75" customHeight="1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21.75" customHeight="1"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21.75" customHeight="1"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21.75" customHeight="1"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21.75" customHeight="1"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21.75" customHeight="1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21.75" customHeight="1"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21.75" customHeight="1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21.75" customHeight="1"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21.75" customHeight="1"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21.75" customHeight="1"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21.75" customHeight="1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21.75" customHeight="1"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21.75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21.75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21.75" customHeight="1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21.75" customHeight="1"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21.75" customHeight="1"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21.75" customHeight="1"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21.75" customHeight="1"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21.75" customHeight="1"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21.75" customHeight="1"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21.75" customHeight="1"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21.75" customHeight="1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21.75" customHeight="1"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21.75" customHeight="1"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21.75" customHeight="1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21.75" customHeight="1"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21.75" customHeight="1"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21.75" customHeight="1"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21.75" customHeight="1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21.75" customHeight="1"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21.75" customHeight="1"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21.75" customHeight="1"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21.75" customHeight="1"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21.75" customHeight="1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21.75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21.75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21.75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21.75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21.75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21.75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21.75" customHeight="1"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21.75" customHeight="1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21.75" customHeight="1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21.75" customHeight="1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21.75" customHeight="1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21.75" customHeight="1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21.75" customHeight="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21.75" customHeight="1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21.75" customHeight="1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21.75" customHeight="1"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21.75" customHeight="1"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21.75" customHeight="1"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21.75" customHeight="1"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21.75" customHeight="1"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21.75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21.75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1.75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21.75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21.75" customHeight="1"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21.75" customHeight="1"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21.75" customHeight="1"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21.75" customHeight="1"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21.75" customHeight="1"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21.75" customHeight="1"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21.75" customHeight="1"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21.75" customHeight="1"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21.75" customHeight="1"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21.75" customHeight="1"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21.75" customHeight="1"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21.75" customHeight="1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21.75" customHeight="1"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21.75" customHeight="1"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21.75" customHeight="1"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21.75" customHeight="1"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21.75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21.75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21.75" customHeight="1"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21.75" customHeight="1"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21.75" customHeight="1"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21.75" customHeight="1"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21.75" customHeight="1"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21.75" customHeight="1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21.75" customHeight="1"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21.75" customHeight="1"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21.75" customHeight="1"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21.75" customHeight="1"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21.75" customHeight="1"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21.75" customHeight="1"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21.75" customHeight="1"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21.75" customHeight="1"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21.75" customHeight="1"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21.75" customHeight="1"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21.75" customHeight="1"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21.75" customHeight="1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21.75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21.75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21.75" customHeight="1"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21.75" customHeight="1"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21.75" customHeight="1"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21.75" customHeight="1"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21.75" customHeight="1"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21.75" customHeight="1"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21.75" customHeight="1"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21.75" customHeight="1"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21.75" customHeight="1"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21.75" customHeight="1"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21.75" customHeight="1"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21.75" customHeight="1"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21.75" customHeight="1"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21.75" customHeight="1"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21.75" customHeight="1"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21.75" customHeight="1"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21.75" customHeight="1"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21.75" customHeight="1"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21.75" customHeight="1"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21.75" customHeight="1"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21.75" customHeight="1"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21.75" customHeight="1"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21.75" customHeight="1"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21.75" customHeight="1"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21.75" customHeight="1"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21.75" customHeight="1"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21.75" customHeight="1"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21.75" customHeight="1"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21.75" customHeight="1"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21.75" customHeight="1"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21.75" customHeight="1"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21.75" customHeight="1"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21.75" customHeight="1"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21.75" customHeight="1"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21.75" customHeight="1"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21.75" customHeight="1"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21.75" customHeight="1"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21.75" customHeight="1"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21.75" customHeight="1"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21.75" customHeight="1"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21.75" customHeight="1"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21.75" customHeight="1"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21.75" customHeight="1"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21.75" customHeight="1"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21.75" customHeight="1"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21.75" customHeight="1"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21.75" customHeight="1"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21.75" customHeight="1"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21.75" customHeight="1"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21.75" customHeight="1"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21.75" customHeight="1"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21.75" customHeight="1"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21.75" customHeight="1"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21.75" customHeight="1"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21.75" customHeight="1"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21.75" customHeight="1"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21.75" customHeight="1"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21.75" customHeight="1"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21.75" customHeight="1"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21.75" customHeight="1"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21.75" customHeight="1"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21.75" customHeight="1"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21.75" customHeight="1"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21.75" customHeight="1"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21.75" customHeight="1"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21.75" customHeight="1"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21.75" customHeight="1"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21.75" customHeight="1"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21.75" customHeight="1"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21.75" customHeight="1"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21.75" customHeight="1"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21.75" customHeight="1"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21.75" customHeight="1"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21.75" customHeight="1"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21.75" customHeight="1"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21.75" customHeight="1"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21.75" customHeight="1"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21.75" customHeight="1"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21.75" customHeight="1"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21.75" customHeight="1"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21.75" customHeight="1"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21.75" customHeight="1"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21.75" customHeight="1"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21.75" customHeight="1"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21.75" customHeight="1"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21.75" customHeight="1"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21.75" customHeight="1"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21.75" customHeight="1"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21.75" customHeight="1"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21.75" customHeight="1"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21.75" customHeight="1"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21.75" customHeight="1"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21.75" customHeight="1"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21.75" customHeight="1"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21.75" customHeight="1"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21.75" customHeight="1"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21.75" customHeight="1"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21.75" customHeight="1"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21.75" customHeight="1"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21.75" customHeight="1"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21.75" customHeight="1"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21.75" customHeight="1"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21.75" customHeight="1"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21.75" customHeight="1"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21.75" customHeight="1"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21.75" customHeight="1"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21.75" customHeight="1"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21.75" customHeight="1"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21.75" customHeight="1"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21.75" customHeight="1"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21.75" customHeight="1"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21.75" customHeight="1"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21.75" customHeight="1"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21.75" customHeight="1"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21.75" customHeight="1"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21.75" customHeight="1"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21.75" customHeight="1"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21.75" customHeight="1"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21.75" customHeight="1"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21.75" customHeight="1"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21.75" customHeight="1"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21.75" customHeight="1"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21.75" customHeight="1"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21.75" customHeight="1"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21.75" customHeight="1"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21.75" customHeight="1"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21.75" customHeight="1"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21.75" customHeight="1"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21.75" customHeight="1"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21.75" customHeight="1"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21.75" customHeight="1"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21.75" customHeight="1"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21.75" customHeight="1"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21.75" customHeight="1"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21.75" customHeight="1"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21.75" customHeight="1"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21.75" customHeight="1"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21.75" customHeight="1"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21.75" customHeight="1"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21.75" customHeight="1"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21.75" customHeight="1"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21.75" customHeight="1"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21.75" customHeight="1"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21.75" customHeight="1"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21.75" customHeight="1"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21.75" customHeight="1"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21.75" customHeight="1"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21.75" customHeight="1"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21.75" customHeight="1"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21.75" customHeight="1"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21.75" customHeight="1"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21.75" customHeight="1"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21.75" customHeight="1"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21.75" customHeight="1"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21.75" customHeight="1"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21.75" customHeight="1"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21.75" customHeight="1"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21.75" customHeight="1"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21.75" customHeight="1"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21.75" customHeight="1"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21.75" customHeight="1"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21.75" customHeight="1"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21.75" customHeight="1"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21.75" customHeight="1"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21.75" customHeight="1"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21.75" customHeight="1"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21.75" customHeight="1"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21.75" customHeight="1"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21.75" customHeight="1"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21.75" customHeight="1"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21.75" customHeight="1"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21.75" customHeight="1"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21.75" customHeight="1"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21.75" customHeight="1"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21.75" customHeight="1"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21.75" customHeight="1"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21.75" customHeight="1"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21.75" customHeight="1"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21.75" customHeight="1"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21.75" customHeight="1"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21.75" customHeight="1"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21.75" customHeight="1"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21.75" customHeight="1"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21.75" customHeight="1"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21.75" customHeight="1"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21.75" customHeight="1"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21.75" customHeight="1"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21.75" customHeight="1"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21.75" customHeight="1"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21.75" customHeight="1"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21.75" customHeight="1"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21.75" customHeight="1"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21.75" customHeight="1"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21.75" customHeight="1"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21.75" customHeight="1"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21.75" customHeight="1"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21.75" customHeight="1"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21.75" customHeight="1"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21.75" customHeight="1"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21.75" customHeight="1"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21.75" customHeight="1"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21.75" customHeight="1"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21.75" customHeight="1"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21.75" customHeight="1"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21.75" customHeight="1"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21.75" customHeight="1"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21.75" customHeight="1"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21.75" customHeight="1"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21.75" customHeight="1"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21.75" customHeight="1"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21.75" customHeight="1"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21.75" customHeight="1"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21.75" customHeight="1"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21.75" customHeight="1"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21.75" customHeight="1"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21.75" customHeight="1"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21.75" customHeight="1"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21.75" customHeight="1"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21.75" customHeight="1"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21.75" customHeight="1"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21.75" customHeight="1"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21.75" customHeight="1"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21.75" customHeight="1"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21.75" customHeight="1"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21.75" customHeight="1"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21.75" customHeight="1"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21.75" customHeight="1"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21.75" customHeight="1"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21.75" customHeight="1"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21.75" customHeight="1"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21.75" customHeight="1"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21.75" customHeight="1"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21.75" customHeight="1"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21.75" customHeight="1"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21.75" customHeight="1"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21.75" customHeight="1"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21.75" customHeight="1"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21.75" customHeight="1"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21.75" customHeight="1"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21.75" customHeight="1"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21.75" customHeight="1"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21.75" customHeight="1"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21.75" customHeight="1"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21.75" customHeight="1"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21.75" customHeight="1"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21.75" customHeight="1"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21.75" customHeight="1"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21.75" customHeight="1"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21.75" customHeight="1"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21.75" customHeight="1"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21.75" customHeight="1"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21.75" customHeight="1"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21.75" customHeight="1"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21.75" customHeight="1"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21.75" customHeight="1"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21.75" customHeight="1"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21.75" customHeight="1"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21.75" customHeight="1"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21.75" customHeight="1"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21.75" customHeight="1"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21.75" customHeight="1"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21.75" customHeight="1"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21.75" customHeight="1"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21.75" customHeight="1"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21.75" customHeight="1"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21.75" customHeight="1"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21.75" customHeight="1"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21.75" customHeight="1"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21.75" customHeight="1"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21.75" customHeight="1"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21.75" customHeight="1"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21.75" customHeight="1"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21.75" customHeight="1"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21.75" customHeight="1"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21.75" customHeight="1"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21.75" customHeight="1"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21.75" customHeight="1"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21.75" customHeight="1"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21.75" customHeight="1"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21.75" customHeight="1"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21.75" customHeight="1"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21.75" customHeight="1"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21.75" customHeight="1"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21.75" customHeight="1"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21.75" customHeight="1"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21.75" customHeight="1"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21.75" customHeight="1"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21.75" customHeight="1"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21.75" customHeight="1"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21.75" customHeight="1"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21.75" customHeight="1"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21.75" customHeight="1"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21.75" customHeight="1"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21.75" customHeight="1"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21.75" customHeight="1"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21.75" customHeight="1"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21.75" customHeight="1"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21.75" customHeight="1"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21.75" customHeight="1"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21.75" customHeight="1"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21.75" customHeight="1"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21.75" customHeight="1"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21.75" customHeight="1"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21.75" customHeight="1"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21.75" customHeight="1"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21.75" customHeight="1"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21.75" customHeight="1"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21.75" customHeight="1"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21.75" customHeight="1"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21.75" customHeight="1"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21.75" customHeight="1"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21.75" customHeight="1"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21.75" customHeight="1"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21.75" customHeight="1"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21.75" customHeight="1"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21.75" customHeight="1"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21.75" customHeight="1"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21.75" customHeight="1"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21.75" customHeight="1"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21.75" customHeight="1"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21.75" customHeight="1"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21.75" customHeight="1"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21.75" customHeight="1"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21.75" customHeight="1"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21.75" customHeight="1"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21.75" customHeight="1"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21.75" customHeight="1"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21.75" customHeight="1"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21.75" customHeight="1"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21.75" customHeight="1"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21.75" customHeight="1"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21.75" customHeight="1"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21.75" customHeight="1"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21.75" customHeight="1"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21.75" customHeight="1"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21.75" customHeight="1"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21.75" customHeight="1"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21.75" customHeight="1"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21.75" customHeight="1"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21.75" customHeight="1"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21.75" customHeight="1"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21.75" customHeight="1"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21.75" customHeight="1"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21.75" customHeight="1"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21.75" customHeight="1"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21.75" customHeight="1"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21.75" customHeight="1"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21.75" customHeight="1"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21.75" customHeight="1"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21.75" customHeight="1"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21.75" customHeight="1"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21.75" customHeight="1"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21.75" customHeight="1"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21.75" customHeight="1"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21.75" customHeight="1"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21.75" customHeight="1"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21.75" customHeight="1"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21.75" customHeight="1"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21.75" customHeight="1"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21.75" customHeight="1"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21.75" customHeight="1"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21.75" customHeight="1"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21.75" customHeight="1"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21.75" customHeight="1"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21.75" customHeight="1"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21.75" customHeight="1"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21.75" customHeight="1"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21.75" customHeight="1"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21.75" customHeight="1"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21.75" customHeight="1"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21.75" customHeight="1"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21.75" customHeight="1"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21.75" customHeight="1"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21.75" customHeight="1"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21.75" customHeight="1"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21.75" customHeight="1"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21.75" customHeight="1"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21.75" customHeight="1"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21.75" customHeight="1"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21.75" customHeight="1"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21.75" customHeight="1"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21.75" customHeight="1"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21.75" customHeight="1"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21.75" customHeight="1"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21.75" customHeight="1"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21.75" customHeight="1"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21.75" customHeight="1"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21.75" customHeight="1"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21.75" customHeight="1"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21.75" customHeight="1"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21.75" customHeight="1"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21.75" customHeight="1"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21.75" customHeight="1"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21.75" customHeight="1"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21.75" customHeight="1"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21.75" customHeight="1"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21.75" customHeight="1"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21.75" customHeight="1"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21.75" customHeight="1"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21.75" customHeight="1"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21.75" customHeight="1"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21.75" customHeight="1"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21.75" customHeight="1"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21.75" customHeight="1"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21.75" customHeight="1"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21.75" customHeight="1"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21.75" customHeight="1"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21.75" customHeight="1"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21.75" customHeight="1"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21.75" customHeight="1"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21.75" customHeight="1"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21.75" customHeight="1"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21.75" customHeight="1"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21.75" customHeight="1"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21.75" customHeight="1"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21.75" customHeight="1"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21.75" customHeight="1"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21.75" customHeight="1"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21.75" customHeight="1"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21.75" customHeight="1"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21.75" customHeight="1"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21.75" customHeight="1"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21.75" customHeight="1"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21.75" customHeight="1"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21.75" customHeight="1"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21.75" customHeight="1"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21.75" customHeight="1"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21.75" customHeight="1"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21.75" customHeight="1"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21.75" customHeight="1"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21.75" customHeight="1"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21.75" customHeight="1"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21.75" customHeight="1"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21.75" customHeight="1"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21.75" customHeight="1"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21.75" customHeight="1"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21.75" customHeight="1"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21.75" customHeight="1"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21.75" customHeight="1"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21.75" customHeight="1"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21.75" customHeight="1"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21.75" customHeight="1"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21.75" customHeight="1"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21.75" customHeight="1"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21.75" customHeight="1"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21.75" customHeight="1"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21.75" customHeight="1"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21.75" customHeight="1"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21.75" customHeight="1"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21.75" customHeight="1"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21.75" customHeight="1"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21.75" customHeight="1"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21.75" customHeight="1"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21.75" customHeight="1"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21.75" customHeight="1"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21.75" customHeight="1"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21.75" customHeight="1"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21.75" customHeight="1"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21.75" customHeight="1"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21.75" customHeight="1"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21.75" customHeight="1"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21.75" customHeight="1"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21.75" customHeight="1"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21.75" customHeight="1"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21.75" customHeight="1"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21.75" customHeight="1"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21.75" customHeight="1"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21.75" customHeight="1"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21.75" customHeight="1"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21.75" customHeight="1"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21.75" customHeight="1"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21.75" customHeight="1"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21.75" customHeight="1"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21.75" customHeight="1"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21.75" customHeight="1"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21.75" customHeight="1"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21.75" customHeight="1"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21.75" customHeight="1"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21.75" customHeight="1"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21.75" customHeight="1"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21.75" customHeight="1"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21.75" customHeight="1"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21.75" customHeight="1"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21.75" customHeight="1"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21.75" customHeight="1"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21.75" customHeight="1"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21.75" customHeight="1"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21.75" customHeight="1"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21.75" customHeight="1"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21.75" customHeight="1"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21.75" customHeight="1"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21.75" customHeight="1"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21.75" customHeight="1"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21.75" customHeight="1"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21.75" customHeight="1"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21.75" customHeight="1"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21.75" customHeight="1"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21.75" customHeight="1"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21.75" customHeight="1"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21.75" customHeight="1"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21.75" customHeight="1"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21.75" customHeight="1"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21.75" customHeight="1"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21.75" customHeight="1"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21.75" customHeight="1"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21.75" customHeight="1"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21.75" customHeight="1"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21.75" customHeight="1"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21.75" customHeight="1"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21.75" customHeight="1"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21.75" customHeight="1"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21.75" customHeight="1"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21.75" customHeight="1"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21.75" customHeight="1"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21.75" customHeight="1"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21.75" customHeight="1"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21.75" customHeight="1"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21.75" customHeight="1"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21.75" customHeight="1"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21.75" customHeight="1"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21.75" customHeight="1"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21.75" customHeight="1"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21.75" customHeight="1"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21.75" customHeight="1"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21.75" customHeight="1"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21.75" customHeight="1"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21.75" customHeight="1"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21.75" customHeight="1"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21.75" customHeight="1"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21.75" customHeight="1"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21.75" customHeight="1"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21.75" customHeight="1"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21.75" customHeight="1"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21.75" customHeight="1"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21.75" customHeight="1"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21.75" customHeight="1"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21.75" customHeight="1"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21.75" customHeight="1"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21.75" customHeight="1"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21.75" customHeight="1"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21.75" customHeight="1"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21.75" customHeight="1"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21.75" customHeight="1"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21.75" customHeight="1"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21.75" customHeight="1"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21.75" customHeight="1"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21.75" customHeight="1"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21.75" customHeight="1"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21.75" customHeight="1"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21.75" customHeight="1"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21.75" customHeight="1"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21.75" customHeight="1"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21.75" customHeight="1"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21.75" customHeight="1"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21.75" customHeight="1"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21.75" customHeight="1"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21.75" customHeight="1"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21.75" customHeight="1"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21.75" customHeight="1"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21.75" customHeight="1"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21.75" customHeight="1"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21.75" customHeight="1"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21.75" customHeight="1"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21.75" customHeight="1"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21.75" customHeight="1"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21.75" customHeight="1"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21.75" customHeight="1"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21.75" customHeight="1"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21.75" customHeight="1"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21.75" customHeight="1"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21.75" customHeight="1"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21.75" customHeight="1"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21.75" customHeight="1"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21.75" customHeight="1"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21.75" customHeight="1"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21.75" customHeight="1"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21.75" customHeight="1"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21.75" customHeight="1"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21.75" customHeight="1"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21.75" customHeight="1"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21.75" customHeight="1"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21.75" customHeight="1"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21.75" customHeight="1"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21.75" customHeight="1"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21.75" customHeight="1"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21.75" customHeight="1"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21.75" customHeight="1"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21.75" customHeight="1"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21.75" customHeight="1"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21.75" customHeight="1"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21.75" customHeight="1"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21.75" customHeight="1"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21.75" customHeight="1"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21.75" customHeight="1"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21.75" customHeight="1"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21.75" customHeight="1"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21.75" customHeight="1"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21.75" customHeight="1"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21.75" customHeight="1"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21.75" customHeight="1"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21.75" customHeight="1"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21.75" customHeight="1"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21.75" customHeight="1"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21.75" customHeight="1"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21.75" customHeight="1"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21.75" customHeight="1"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21.75" customHeight="1"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21.75" customHeight="1"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21.75" customHeight="1"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21.75" customHeight="1"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21.75" customHeight="1"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21.75" customHeight="1"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21.75" customHeight="1"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21.75" customHeight="1"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21.75" customHeight="1"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21.75" customHeight="1"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21.75" customHeight="1"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21.75" customHeight="1"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21.75" customHeight="1"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21.75" customHeight="1"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21.75" customHeight="1"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21.75" customHeight="1"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21.75" customHeight="1"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21.75" customHeight="1"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21.75" customHeight="1"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21.75" customHeight="1"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21.75" customHeight="1"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21.75" customHeight="1"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21.75" customHeight="1"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21.75" customHeight="1"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21.75" customHeight="1"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21.75" customHeight="1"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21.75" customHeight="1"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21.75" customHeight="1"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21.75" customHeight="1"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21.75" customHeight="1"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21.75" customHeight="1"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21.75" customHeight="1"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21.75" customHeight="1"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21.75" customHeight="1"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21.75" customHeight="1"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21.75" customHeight="1"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21.75" customHeight="1"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21.75" customHeight="1"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21.75" customHeight="1"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21.75" customHeight="1"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21.75" customHeight="1"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21.75" customHeight="1"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21.75" customHeight="1"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21.75" customHeight="1"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21.75" customHeight="1"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21.75" customHeight="1"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21.75" customHeight="1"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21.75" customHeight="1"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21.75" customHeight="1"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21.75" customHeight="1"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21.75" customHeight="1"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21.75" customHeight="1"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21.75" customHeight="1"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21.75" customHeight="1"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21.75" customHeight="1"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21.75" customHeight="1"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21.75" customHeight="1"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21.75" customHeight="1"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21.75" customHeight="1"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21.75" customHeight="1"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21.75" customHeight="1"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21.75" customHeight="1"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21.75" customHeight="1"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21.75" customHeight="1"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21.75" customHeight="1"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21.75" customHeight="1"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21.75" customHeight="1"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21.75" customHeight="1"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21.75" customHeight="1"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21.75" customHeight="1"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21.75" customHeight="1"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21.75" customHeight="1"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21.75" customHeight="1"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21.75" customHeight="1"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21.75" customHeight="1"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21.75" customHeight="1"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21.75" customHeight="1"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21.75" customHeight="1"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21.75" customHeight="1"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21.75" customHeight="1"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21.75" customHeight="1"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21.75" customHeight="1"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21.75" customHeight="1"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21.75" customHeight="1"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21.75" customHeight="1"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21.75" customHeight="1"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21.75" customHeight="1"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21.75" customHeight="1"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21.75" customHeight="1"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21.75" customHeight="1"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21.75" customHeight="1"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21.75" customHeight="1"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21.75" customHeight="1"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21.75" customHeight="1"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21.75" customHeight="1"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21.75" customHeight="1"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21.75" customHeight="1"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21.75" customHeight="1"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21.75" customHeight="1"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21.75" customHeight="1"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21.75" customHeight="1"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21.75" customHeight="1"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21.75" customHeight="1"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21.75" customHeight="1"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21.75" customHeight="1"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21.75" customHeight="1"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21.75" customHeight="1"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21.75" customHeight="1"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21.75" customHeight="1"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21.75" customHeight="1"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21.75" customHeight="1"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21.75" customHeight="1"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21.75" customHeight="1"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21.75" customHeight="1"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21.75" customHeight="1"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21.75" customHeight="1"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21.75" customHeight="1"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21.75" customHeight="1"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21.75" customHeight="1"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21.75" customHeight="1"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21.75" customHeight="1"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21.75" customHeight="1"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21.75" customHeight="1"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21.75" customHeight="1"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21.75" customHeight="1"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21.75" customHeight="1"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21.75" customHeight="1"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21.75" customHeight="1"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21.75" customHeight="1"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21.75" customHeight="1"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21.75" customHeight="1"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21.75" customHeight="1"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21.75" customHeight="1"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21.75" customHeight="1"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21.75" customHeight="1"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21.75" customHeight="1"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21.75" customHeight="1"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21.75" customHeight="1"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21.75" customHeight="1"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21.75" customHeight="1"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21.75" customHeight="1"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21.75" customHeight="1"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21.75" customHeight="1"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21.75" customHeight="1"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21.75" customHeight="1"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21.75" customHeight="1"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21.75" customHeight="1"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21.75" customHeight="1"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21.75" customHeight="1"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21.75" customHeight="1"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21.75" customHeight="1"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21.75" customHeight="1"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21.75" customHeight="1"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21.75" customHeight="1"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21.75" customHeight="1"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21.75" customHeight="1"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21.75" customHeight="1"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21.75" customHeight="1"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21.75" customHeight="1"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21.75" customHeight="1"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21.75" customHeight="1"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21.75" customHeight="1"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21.75" customHeight="1"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21.75" customHeight="1"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21.75" customHeight="1"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21.75" customHeight="1"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21.75" customHeight="1"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21.75" customHeight="1"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21.75" customHeight="1"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21.75" customHeight="1"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21.75" customHeight="1"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21.75" customHeight="1"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21.75" customHeight="1"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21.75" customHeight="1"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21.75" customHeight="1"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21.75" customHeight="1"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21.75" customHeight="1"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21.75" customHeight="1"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21.75" customHeight="1"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21.75" customHeight="1"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21.75" customHeight="1"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21.75" customHeight="1"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21.75" customHeight="1"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21.75" customHeight="1"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21.75" customHeight="1"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21.75" customHeight="1"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21.75" customHeight="1"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21.75" customHeight="1"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21.75" customHeight="1"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21.75" customHeight="1"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21.75" customHeight="1"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21.75" customHeight="1"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21.75" customHeight="1"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21.75" customHeight="1"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21.75" customHeight="1"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21.75" customHeight="1"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21.75" customHeight="1"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21.75" customHeight="1"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21.75" customHeight="1"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21.75" customHeight="1"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21.75" customHeight="1"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21.75" customHeight="1"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21.75" customHeight="1"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21.75" customHeight="1"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21.75" customHeight="1"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21.75" customHeight="1"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21.75" customHeight="1"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21.75" customHeight="1"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21.75" customHeight="1"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21.75" customHeight="1"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21.75" customHeight="1"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21.75" customHeight="1"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21.75" customHeight="1"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21.75" customHeight="1"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21.75" customHeight="1"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21.75" customHeight="1"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21.75" customHeight="1"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21.75" customHeight="1"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21.75" customHeight="1"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21.75" customHeight="1"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21.75" customHeight="1"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21.75" customHeight="1"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21.75" customHeight="1"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21.75" customHeight="1"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21.75" customHeight="1"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21.75" customHeight="1"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21.75" customHeight="1"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21.75" customHeight="1"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21.75" customHeight="1"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21.75" customHeight="1"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21.75" customHeight="1"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21.75" customHeight="1"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21.75" customHeight="1"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21.75" customHeight="1"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21.75" customHeight="1"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21.75" customHeight="1"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21.75" customHeight="1"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21.75" customHeight="1"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21.75" customHeight="1"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21.75" customHeight="1"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21.75" customHeight="1"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21.75" customHeight="1"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21.75" customHeight="1"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21.75" customHeight="1"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8fICQ/rG1xhA+5qEAWybvg==" formatRows="1" sort="1" spinCount="100000" hashValue="5x82ZaSqalaNXjstlSD1SmBLULupqsO+CEhhmgouq2mNbOfemphHDejdQ67Fhum6AGbKzbDeBL9yvzlKuDiXLw=="/>
  <mergeCells count="50">
    <mergeCell ref="W20:Y20"/>
    <mergeCell ref="R31:T31"/>
    <mergeCell ref="R37:T37"/>
    <mergeCell ref="C31:E31"/>
    <mergeCell ref="R36:T36"/>
    <mergeCell ref="M13:O13"/>
    <mergeCell ref="G1:J1"/>
    <mergeCell ref="Q2:T2"/>
    <mergeCell ref="M16:O16"/>
    <mergeCell ref="R35:T35"/>
    <mergeCell ref="H17:J17"/>
    <mergeCell ref="H11:J11"/>
    <mergeCell ref="M15:O15"/>
    <mergeCell ref="W16:Y16"/>
    <mergeCell ref="H16:J16"/>
    <mergeCell ref="V3:Y3"/>
    <mergeCell ref="R32:T32"/>
    <mergeCell ref="H13:J13"/>
    <mergeCell ref="M18:O18"/>
    <mergeCell ref="Q3:T3"/>
    <mergeCell ref="L2:O2"/>
    <mergeCell ref="W18:Y18"/>
    <mergeCell ref="G2:J2"/>
    <mergeCell ref="V2:Y2"/>
    <mergeCell ref="B3:E3"/>
    <mergeCell ref="H12:J12"/>
    <mergeCell ref="M17:O17"/>
    <mergeCell ref="W17:Y17"/>
    <mergeCell ref="C32:E32"/>
    <mergeCell ref="M14:O14"/>
    <mergeCell ref="H15:J15"/>
    <mergeCell ref="L1:O1"/>
    <mergeCell ref="M19:O19"/>
    <mergeCell ref="W14:Y14"/>
    <mergeCell ref="R33:T33"/>
    <mergeCell ref="H14:J14"/>
    <mergeCell ref="L3:O3"/>
    <mergeCell ref="W19:Y19"/>
    <mergeCell ref="B2:E2"/>
    <mergeCell ref="V1:Y1"/>
    <mergeCell ref="C30:E30"/>
    <mergeCell ref="C34:E34"/>
    <mergeCell ref="C33:E33"/>
    <mergeCell ref="B1:E1"/>
    <mergeCell ref="G3:J3"/>
    <mergeCell ref="W15:Y15"/>
    <mergeCell ref="Q1:T1"/>
    <mergeCell ref="C35:E35"/>
    <mergeCell ref="C29:E29"/>
    <mergeCell ref="R34:T34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B2:B6"/>
  <sheetViews>
    <sheetView showGridLines="0" showRowColHeaders="0" workbookViewId="0">
      <selection activeCell="G6" sqref="G6"/>
    </sheetView>
  </sheetViews>
  <sheetFormatPr baseColWidth="8" defaultColWidth="9.140625" defaultRowHeight="14.45"/>
  <sheetData>
    <row r="2">
      <c r="B2" t="inlineStr">
        <is>
          <t>1. Completa todos los campos.</t>
        </is>
      </c>
    </row>
    <row r="3">
      <c r="B3" t="inlineStr">
        <is>
          <t>2. Da clic en GUARDAR CUENTA.</t>
        </is>
      </c>
    </row>
    <row r="4">
      <c r="B4" t="inlineStr">
        <is>
          <t>3. Espera confirmación.</t>
        </is>
      </c>
    </row>
    <row r="5">
      <c r="B5" t="inlineStr">
        <is>
          <t>4. No cierres antes de guardar.</t>
        </is>
      </c>
    </row>
    <row r="6">
      <c r="B6" t="inlineStr">
        <is>
          <t>5. Si ocurre error, contactar al gestor.</t>
        </is>
      </c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NoEZZduR73HRWZvorf6AHg==" formatRows="1" sort="1" spinCount="100000" hashValue="F+5wi5pMRO8hjZpZ4M/OkCoCeIYXskZqZ+78o4kfQQUj7umBLBJJOpUTw3+utQAIacEVKIGxRmgp2TFu78Sb+w==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 filterMode="1">
    <outlinePr summaryBelow="1" summaryRight="1"/>
    <pageSetUpPr fitToPage="1"/>
  </sheetPr>
  <dimension ref="A1:AN151"/>
  <sheetViews>
    <sheetView tabSelected="1" topLeftCell="A85" zoomScale="55" zoomScaleNormal="55" workbookViewId="0">
      <selection activeCell="E88" sqref="E88"/>
    </sheetView>
  </sheetViews>
  <sheetFormatPr baseColWidth="8" defaultColWidth="9.140625" defaultRowHeight="30" customHeight="1"/>
  <cols>
    <col width="17.85546875" customWidth="1" style="126" min="1" max="1"/>
    <col width="21.7109375" customWidth="1" style="126" min="2" max="2"/>
    <col width="22.7109375" customWidth="1" style="126" min="3" max="3"/>
    <col width="29.5703125" customWidth="1" style="301" min="4" max="4"/>
    <col width="45.28515625" customWidth="1" style="126" min="5" max="5"/>
    <col width="11.5703125" customWidth="1" style="126" min="6" max="6"/>
    <col width="11.7109375" customWidth="1" style="126" min="7" max="7"/>
    <col width="68.85546875" customWidth="1" style="126" min="8" max="8"/>
    <col width="10" customWidth="1" style="127" min="9" max="9"/>
    <col width="66.28515625" customWidth="1" style="126" min="10" max="10"/>
    <col width="9" customWidth="1" style="127" min="11" max="11"/>
    <col width="61.85546875" customWidth="1" style="126" min="12" max="12"/>
    <col width="9.28515625" customWidth="1" style="127" min="13" max="13"/>
    <col width="17" customWidth="1" style="126" min="14" max="14"/>
    <col width="24" customWidth="1" style="126" min="15" max="15"/>
    <col width="14.42578125" customWidth="1" style="126" min="16" max="16"/>
    <col width="13.5703125" customWidth="1" style="126" min="17" max="17"/>
    <col width="16.5703125" customWidth="1" style="126" min="18" max="18"/>
    <col width="8" customWidth="1" style="126" min="19" max="19"/>
    <col width="10.5703125" customWidth="1" style="126" min="20" max="20"/>
    <col width="10.85546875" customWidth="1" style="126" min="21" max="21"/>
    <col width="18.5703125" customWidth="1" style="172" min="22" max="22"/>
    <col width="18.140625" customWidth="1" style="302" min="23" max="23"/>
    <col hidden="1" width="2.28515625" customWidth="1" style="85" min="24" max="33"/>
    <col hidden="1" width="12.5703125" customWidth="1" style="85" min="34" max="34"/>
    <col hidden="1" width="9.140625" customWidth="1" style="85" min="35" max="35"/>
    <col hidden="1" style="85" min="36" max="36"/>
    <col width="27.7109375" customWidth="1" style="155" min="37" max="37"/>
    <col width="9.140625" customWidth="1" style="126" min="38" max="38"/>
    <col width="20.85546875" customWidth="1" style="126" min="39" max="39"/>
    <col width="22" customWidth="1" style="126" min="40" max="16384"/>
  </cols>
  <sheetData>
    <row r="1" ht="44.1" customHeight="1">
      <c r="A1" s="97" t="inlineStr">
        <is>
          <t>EQUIPO</t>
        </is>
      </c>
      <c r="B1" s="97" t="inlineStr">
        <is>
          <t>NOMBRE EJECUTIVO</t>
        </is>
      </c>
      <c r="C1" s="97" t="inlineStr">
        <is>
          <t>CUENTA</t>
        </is>
      </c>
      <c r="D1" s="303" t="inlineStr">
        <is>
          <t>VENTA ESTIMADA</t>
        </is>
      </c>
      <c r="E1" s="97" t="inlineStr">
        <is>
          <t>NECESIDAD 1</t>
        </is>
      </c>
      <c r="F1" s="97" t="inlineStr">
        <is>
          <t>NECESIDAD 2</t>
        </is>
      </c>
      <c r="G1" s="97" t="inlineStr">
        <is>
          <t>NECESIDAD 3</t>
        </is>
      </c>
      <c r="H1" s="97" t="inlineStr">
        <is>
          <t>PLAN DE ACCIÓN 1</t>
        </is>
      </c>
      <c r="I1" s="97" t="inlineStr">
        <is>
          <t>AVANCE PLAN 1</t>
        </is>
      </c>
      <c r="J1" s="97" t="inlineStr">
        <is>
          <t>PLAN DE ACCIÓN 2</t>
        </is>
      </c>
      <c r="K1" s="97" t="inlineStr">
        <is>
          <t>AVANCE PLAN 2</t>
        </is>
      </c>
      <c r="L1" s="97" t="inlineStr">
        <is>
          <t>PLAN DE ACCIÓN 3</t>
        </is>
      </c>
      <c r="M1" s="97" t="inlineStr">
        <is>
          <t>AVANCE PLAN 3</t>
        </is>
      </c>
      <c r="N1" s="97" t="inlineStr">
        <is>
          <t>OPORTUNIDAD</t>
        </is>
      </c>
      <c r="O1" s="97" t="inlineStr">
        <is>
          <t>ESTADO</t>
        </is>
      </c>
      <c r="P1" s="97" t="inlineStr">
        <is>
          <t>CLAVE</t>
        </is>
      </c>
      <c r="Q1" s="97" t="inlineStr">
        <is>
          <t>PRIORIDAD</t>
        </is>
      </c>
      <c r="R1" s="97" t="inlineStr">
        <is>
          <t>RESPONSABLE</t>
        </is>
      </c>
      <c r="S1" s="97" t="inlineStr">
        <is>
          <t>MES</t>
        </is>
      </c>
      <c r="T1" s="97" t="inlineStr">
        <is>
          <t>FECHA SOLICITUD</t>
        </is>
      </c>
      <c r="U1" s="97" t="inlineStr">
        <is>
          <t>FECHA DE ENTREGA</t>
        </is>
      </c>
      <c r="V1" s="156" t="inlineStr">
        <is>
          <t>LINK DE PRESENTACION</t>
        </is>
      </c>
      <c r="W1" s="304" t="inlineStr">
        <is>
          <t>VALOR DE LA PROPUESTA</t>
        </is>
      </c>
      <c r="X1" s="85" t="inlineStr">
        <is>
          <t>Columna1</t>
        </is>
      </c>
      <c r="Y1" s="85" t="inlineStr">
        <is>
          <t>Columna2</t>
        </is>
      </c>
      <c r="Z1" s="85" t="inlineStr">
        <is>
          <t>Columna3</t>
        </is>
      </c>
      <c r="AA1" s="87" t="inlineStr">
        <is>
          <t>NOMBRE DIRECTOR</t>
        </is>
      </c>
      <c r="AB1" s="87" t="inlineStr">
        <is>
          <t>TIPO EQUIPO</t>
        </is>
      </c>
      <c r="AC1" s="87" t="inlineStr">
        <is>
          <t>EQUIPO4</t>
        </is>
      </c>
      <c r="AD1" s="87" t="inlineStr">
        <is>
          <t>ESTADO5</t>
        </is>
      </c>
      <c r="AE1" s="87" t="inlineStr">
        <is>
          <t>IMAGEN6</t>
        </is>
      </c>
      <c r="AF1" s="87" t="inlineStr">
        <is>
          <t>PRIORIDAD7</t>
        </is>
      </c>
      <c r="AG1" s="87" t="inlineStr">
        <is>
          <t>CLAVE8</t>
        </is>
      </c>
      <c r="AK1" s="154" t="inlineStr">
        <is>
          <t>ASESOR INNOVACION DIGITAL</t>
        </is>
      </c>
      <c r="AN1" s="154" t="inlineStr">
        <is>
          <t>RUBRO</t>
        </is>
      </c>
    </row>
    <row r="2" ht="30" customFormat="1" customHeight="1" s="129">
      <c r="A2" s="98" t="inlineStr">
        <is>
          <t>ALIANZAS</t>
        </is>
      </c>
      <c r="B2" s="98" t="inlineStr">
        <is>
          <t>ALIANZAS</t>
        </is>
      </c>
      <c r="C2" s="98" t="inlineStr">
        <is>
          <t>DISQUERAS - TIQUETERAS</t>
        </is>
      </c>
      <c r="D2" s="305" t="n">
        <v>10000000</v>
      </c>
      <c r="E2" s="98" t="inlineStr">
        <is>
          <t>PROPUESTA DIGITAL PARA DISQUERAS, EVENTOS Y TIQUETERAS - FRANQUICIAS</t>
        </is>
      </c>
      <c r="F2" s="98" t="n"/>
      <c r="G2" s="98" t="n"/>
      <c r="H2" s="98" t="inlineStr">
        <is>
          <t>GENERAR PROPUESTA COMERCIAL</t>
        </is>
      </c>
      <c r="I2" s="99" t="n">
        <v>100</v>
      </c>
      <c r="J2" s="98" t="inlineStr">
        <is>
          <t>ENTREGAR PROPUESTA</t>
        </is>
      </c>
      <c r="K2" s="99" t="n">
        <v>100</v>
      </c>
      <c r="L2" s="98" t="inlineStr">
        <is>
          <t>SIN CAMBIOS</t>
        </is>
      </c>
      <c r="M2" s="99" t="n">
        <v>50</v>
      </c>
      <c r="N2" s="98" t="n"/>
      <c r="O2" s="98" t="inlineStr">
        <is>
          <t>En seguimiento</t>
        </is>
      </c>
      <c r="P2" s="98">
        <f>A2&amp;"|"&amp;O2</f>
        <v/>
      </c>
      <c r="Q2" s="98" t="inlineStr">
        <is>
          <t>Media</t>
        </is>
      </c>
      <c r="R2" s="98">
        <f>TRIM(tbl_BasePowerBI[[#This Row],[NOMBRE EJECUTIVO]])</f>
        <v/>
      </c>
      <c r="S2" s="98" t="inlineStr">
        <is>
          <t>JUNIO</t>
        </is>
      </c>
      <c r="T2" s="100" t="n">
        <v>46176</v>
      </c>
      <c r="U2" s="100" t="n">
        <v>46176</v>
      </c>
      <c r="V2" s="157" t="inlineStr">
        <is>
          <t>PRODUCTO DIGITAL-FRANQUICIAS-MÚSICA EN MOVIMIENTO.pptx</t>
        </is>
      </c>
      <c r="W2" s="306" t="n">
        <v>10000000</v>
      </c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>
        <v>1</v>
      </c>
      <c r="AK2" s="102" t="inlineStr">
        <is>
          <t>Equipo Innovación Digital</t>
        </is>
      </c>
      <c r="AN2" t="inlineStr">
        <is>
          <t>Entretenimiento</t>
        </is>
      </c>
    </row>
    <row r="3" ht="30" customFormat="1" customHeight="1" s="129">
      <c r="A3" s="98" t="inlineStr">
        <is>
          <t>ALIANZAS</t>
        </is>
      </c>
      <c r="B3" s="98" t="inlineStr">
        <is>
          <t>ALIANZAS</t>
        </is>
      </c>
      <c r="C3" s="98" t="inlineStr">
        <is>
          <t xml:space="preserve">FRANQUICIAS </t>
        </is>
      </c>
      <c r="D3" s="305" t="n">
        <v>10000000</v>
      </c>
      <c r="E3" s="98" t="inlineStr">
        <is>
          <t xml:space="preserve">PROPUESTA DE FRANQUICIAS PARA EVENTOS </t>
        </is>
      </c>
      <c r="F3" s="98" t="n"/>
      <c r="G3" s="98" t="n"/>
      <c r="H3" s="98" t="inlineStr">
        <is>
          <t>GENERAR PROPUESTA COMERCIAL</t>
        </is>
      </c>
      <c r="I3" s="99" t="n">
        <v>100</v>
      </c>
      <c r="J3" s="98" t="inlineStr">
        <is>
          <t>ENTREGAR PROPUESTA</t>
        </is>
      </c>
      <c r="K3" s="99" t="n">
        <v>100</v>
      </c>
      <c r="L3" s="98" t="inlineStr">
        <is>
          <t>SIN CAMBIOS</t>
        </is>
      </c>
      <c r="M3" s="99" t="n">
        <v>50</v>
      </c>
      <c r="N3" s="98" t="n"/>
      <c r="O3" s="98" t="inlineStr">
        <is>
          <t>En seguimiento</t>
        </is>
      </c>
      <c r="P3" s="98">
        <f>A3&amp;"|"&amp;O3</f>
        <v/>
      </c>
      <c r="Q3" s="98" t="inlineStr">
        <is>
          <t>Media</t>
        </is>
      </c>
      <c r="R3" s="98">
        <f>TRIM(tbl_BasePowerBI[[#This Row],[NOMBRE EJECUTIVO]])</f>
        <v/>
      </c>
      <c r="S3" s="98" t="inlineStr">
        <is>
          <t>JUNIO</t>
        </is>
      </c>
      <c r="T3" s="100" t="n">
        <v>46176</v>
      </c>
      <c r="U3" s="100" t="n">
        <v>46176</v>
      </c>
      <c r="V3" s="157" t="inlineStr">
        <is>
          <t>PRODUCTO DIGITAL-DEL PLAY AL SHOW.pptx</t>
        </is>
      </c>
      <c r="W3" s="306" t="n">
        <v>10000000</v>
      </c>
      <c r="X3" s="86" t="n"/>
      <c r="Y3" s="86" t="n"/>
      <c r="Z3" s="86" t="n"/>
      <c r="AA3" s="86" t="n"/>
      <c r="AB3" s="86" t="n"/>
      <c r="AC3" s="86" t="n"/>
      <c r="AD3" s="86" t="n"/>
      <c r="AE3" s="86" t="n"/>
      <c r="AF3" s="86" t="n"/>
      <c r="AG3" s="86" t="n"/>
      <c r="AH3" s="86" t="n"/>
      <c r="AI3" s="86" t="n"/>
      <c r="AJ3" s="86" t="n">
        <v>2</v>
      </c>
      <c r="AK3" s="102" t="inlineStr">
        <is>
          <t>Equipo Innovación Digital</t>
        </is>
      </c>
      <c r="AN3" t="inlineStr">
        <is>
          <t>Otros</t>
        </is>
      </c>
    </row>
    <row r="4" ht="30" customFormat="1" customHeight="1" s="129">
      <c r="A4" s="98" t="inlineStr">
        <is>
          <t>PRODUCTOS GENERALES</t>
        </is>
      </c>
      <c r="B4" s="98" t="inlineStr">
        <is>
          <t>PRODUCTOS GENERALES</t>
        </is>
      </c>
      <c r="C4" s="98" t="inlineStr">
        <is>
          <t xml:space="preserve">FRANQUICIAS </t>
        </is>
      </c>
      <c r="D4" s="305" t="n">
        <v>20000000</v>
      </c>
      <c r="E4" s="98" t="inlineStr">
        <is>
          <t>PROPUESTA DE FRANQUICIAS POR RUBROS</t>
        </is>
      </c>
      <c r="F4" s="98" t="n"/>
      <c r="G4" s="98" t="n"/>
      <c r="H4" s="101" t="inlineStr">
        <is>
          <t>GENERAR PROPUESTA COMERCIAL</t>
        </is>
      </c>
      <c r="I4" s="99" t="n">
        <v>100</v>
      </c>
      <c r="J4" s="101" t="inlineStr">
        <is>
          <t>ENTREGAR PROPUESTA</t>
        </is>
      </c>
      <c r="K4" s="99" t="n">
        <v>100</v>
      </c>
      <c r="L4" s="98" t="inlineStr">
        <is>
          <t xml:space="preserve">SIN CAMBIOS </t>
        </is>
      </c>
      <c r="M4" s="99" t="n">
        <v>100</v>
      </c>
      <c r="N4" s="98" t="n"/>
      <c r="O4" s="98" t="inlineStr">
        <is>
          <t>En seguimiento</t>
        </is>
      </c>
      <c r="P4" s="98">
        <f>A4&amp;"|"&amp;O4</f>
        <v/>
      </c>
      <c r="Q4" s="98" t="inlineStr">
        <is>
          <t>Media</t>
        </is>
      </c>
      <c r="R4" s="98">
        <f>TRIM(tbl_BasePowerBI[[#This Row],[NOMBRE EJECUTIVO]])</f>
        <v/>
      </c>
      <c r="S4" s="98" t="inlineStr">
        <is>
          <t>JUNIO</t>
        </is>
      </c>
      <c r="T4" s="100" t="n">
        <v>46174</v>
      </c>
      <c r="U4" s="100" t="n">
        <v>46174</v>
      </c>
      <c r="V4" s="157" t="inlineStr">
        <is>
          <t>FRANQUICIAS PRISA.pptx</t>
        </is>
      </c>
      <c r="W4" s="306" t="n">
        <v>20000000</v>
      </c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  <c r="AI4" s="86" t="n"/>
      <c r="AJ4" s="86" t="n">
        <v>3</v>
      </c>
      <c r="AK4" s="102" t="inlineStr">
        <is>
          <t>Equipo Innovación Digital</t>
        </is>
      </c>
      <c r="AN4" t="inlineStr">
        <is>
          <t>Otros</t>
        </is>
      </c>
    </row>
    <row r="5" ht="30" customFormat="1" customHeight="1" s="129">
      <c r="A5" s="98" t="inlineStr">
        <is>
          <t>PRODUCTOS GENERALES</t>
        </is>
      </c>
      <c r="B5" s="98" t="inlineStr">
        <is>
          <t>PRODUCTOS GENERALES</t>
        </is>
      </c>
      <c r="C5" s="98" t="inlineStr">
        <is>
          <t xml:space="preserve">FRANQUICIAS </t>
        </is>
      </c>
      <c r="D5" s="305" t="n">
        <v>20000000</v>
      </c>
      <c r="E5" s="98" t="inlineStr">
        <is>
          <t xml:space="preserve">PROPUESTA DE FRANQUICIAS POR PAQUETES </t>
        </is>
      </c>
      <c r="F5" s="98" t="n"/>
      <c r="G5" s="98" t="n"/>
      <c r="H5" s="101" t="inlineStr">
        <is>
          <t>GENERAR PROPUESTA COMERCIAL</t>
        </is>
      </c>
      <c r="I5" s="99" t="n">
        <v>100</v>
      </c>
      <c r="J5" s="101" t="inlineStr">
        <is>
          <t>ENTREGAR PROPUESTA</t>
        </is>
      </c>
      <c r="K5" s="99" t="n">
        <v>100</v>
      </c>
      <c r="L5" s="98" t="inlineStr">
        <is>
          <t xml:space="preserve">SIN CAMBIOS </t>
        </is>
      </c>
      <c r="M5" s="99" t="n">
        <v>100</v>
      </c>
      <c r="N5" s="98" t="n"/>
      <c r="O5" s="98" t="inlineStr">
        <is>
          <t>En seguimiento</t>
        </is>
      </c>
      <c r="P5" s="98">
        <f>A5&amp;"|"&amp;O5</f>
        <v/>
      </c>
      <c r="Q5" s="98" t="inlineStr">
        <is>
          <t>Media</t>
        </is>
      </c>
      <c r="R5" s="98">
        <f>TRIM(tbl_BasePowerBI[[#This Row],[NOMBRE EJECUTIVO]])</f>
        <v/>
      </c>
      <c r="S5" s="98" t="inlineStr">
        <is>
          <t>JUNIO</t>
        </is>
      </c>
      <c r="T5" s="100" t="n">
        <v>46174</v>
      </c>
      <c r="U5" s="100" t="n">
        <v>46174</v>
      </c>
      <c r="V5" s="157" t="inlineStr">
        <is>
          <t>Producto_Digital_FRANQUICIAS PRISA 2026.pptx</t>
        </is>
      </c>
      <c r="W5" s="306" t="n">
        <v>20000000</v>
      </c>
      <c r="X5" s="86" t="n"/>
      <c r="Y5" s="86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  <c r="AI5" s="86" t="n"/>
      <c r="AJ5" s="86" t="n">
        <v>4</v>
      </c>
      <c r="AK5" s="102" t="inlineStr">
        <is>
          <t>Equipo Innovación Digital</t>
        </is>
      </c>
      <c r="AN5" t="inlineStr">
        <is>
          <t>Otros</t>
        </is>
      </c>
    </row>
    <row r="6" ht="30" customFormat="1" customHeight="1" s="129">
      <c r="A6" s="98" t="inlineStr">
        <is>
          <t>PRODUCTOS GENERALES</t>
        </is>
      </c>
      <c r="B6" s="98" t="inlineStr">
        <is>
          <t>PRODUCTOS GENERALES</t>
        </is>
      </c>
      <c r="C6" s="98" t="inlineStr">
        <is>
          <t>ELECCIONES 2026</t>
        </is>
      </c>
      <c r="D6" s="305" t="n">
        <v>20000000</v>
      </c>
      <c r="E6" s="98" t="inlineStr">
        <is>
          <t>PROPUESTA ELECCIONES 2026</t>
        </is>
      </c>
      <c r="F6" s="98" t="n"/>
      <c r="G6" s="98" t="n"/>
      <c r="H6" s="101" t="inlineStr">
        <is>
          <t>GENERAR PROPUESTA COMERCIAL</t>
        </is>
      </c>
      <c r="I6" s="99" t="n">
        <v>100</v>
      </c>
      <c r="J6" s="101" t="inlineStr">
        <is>
          <t>ENTREGAR PROPUESTA</t>
        </is>
      </c>
      <c r="K6" s="99" t="n">
        <v>100</v>
      </c>
      <c r="L6" s="98" t="inlineStr">
        <is>
          <t xml:space="preserve">SIN CAMBIOS </t>
        </is>
      </c>
      <c r="M6" s="99" t="n">
        <v>100</v>
      </c>
      <c r="N6" s="98" t="n"/>
      <c r="O6" s="98" t="inlineStr">
        <is>
          <t>En seguimiento</t>
        </is>
      </c>
      <c r="P6" s="98">
        <f>A6&amp;"|"&amp;O6</f>
        <v/>
      </c>
      <c r="Q6" s="98" t="inlineStr">
        <is>
          <t>Media</t>
        </is>
      </c>
      <c r="R6" s="98">
        <f>TRIM(tbl_BasePowerBI[[#This Row],[NOMBRE EJECUTIVO]])</f>
        <v/>
      </c>
      <c r="S6" s="98" t="inlineStr">
        <is>
          <t>JUNIO</t>
        </is>
      </c>
      <c r="T6" s="100" t="n">
        <v>46174</v>
      </c>
      <c r="U6" s="100" t="n">
        <v>46174</v>
      </c>
      <c r="V6" s="157" t="inlineStr">
        <is>
          <t>PRODUCTO DIGITAL-ELECCIONES 2026.pptx</t>
        </is>
      </c>
      <c r="W6" s="306" t="n">
        <v>20000000</v>
      </c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>
        <v>5</v>
      </c>
      <c r="AK6" s="102" t="inlineStr">
        <is>
          <t>Equipo Innovación Digital</t>
        </is>
      </c>
      <c r="AN6" t="inlineStr">
        <is>
          <t>Otros</t>
        </is>
      </c>
    </row>
    <row r="7" ht="30" customFormat="1" customHeight="1" s="129">
      <c r="A7" s="98" t="inlineStr">
        <is>
          <t>PRODUCTOS GENERALES</t>
        </is>
      </c>
      <c r="B7" s="98" t="inlineStr">
        <is>
          <t>PRODUCTOS GENERALES</t>
        </is>
      </c>
      <c r="C7" s="98" t="inlineStr">
        <is>
          <t>PRODUCTOS GENERALES</t>
        </is>
      </c>
      <c r="D7" s="305" t="n">
        <v>20000000</v>
      </c>
      <c r="E7" s="98" t="inlineStr">
        <is>
          <t>PROPUESTA DIGITAL LA RUTA DEL GOL</t>
        </is>
      </c>
      <c r="F7" s="98" t="n"/>
      <c r="G7" s="98" t="n"/>
      <c r="H7" s="101" t="inlineStr">
        <is>
          <t>GENERAR PROPUESTA COMERCIAL</t>
        </is>
      </c>
      <c r="I7" s="99" t="n">
        <v>100</v>
      </c>
      <c r="J7" s="98" t="inlineStr">
        <is>
          <t>ENTREGAR PROPUESTA</t>
        </is>
      </c>
      <c r="K7" s="99" t="n">
        <v>100</v>
      </c>
      <c r="L7" s="98" t="inlineStr">
        <is>
          <t>SIN CAMBIOS</t>
        </is>
      </c>
      <c r="M7" s="99" t="n">
        <v>100</v>
      </c>
      <c r="N7" s="98" t="n"/>
      <c r="O7" s="98" t="inlineStr">
        <is>
          <t>En seguimiento</t>
        </is>
      </c>
      <c r="P7" s="98">
        <f>A7&amp;"|"&amp;O7</f>
        <v/>
      </c>
      <c r="Q7" s="98" t="inlineStr">
        <is>
          <t>Media</t>
        </is>
      </c>
      <c r="R7" s="98">
        <f>TRIM(tbl_BasePowerBI[[#This Row],[NOMBRE EJECUTIVO]])</f>
        <v/>
      </c>
      <c r="S7" s="98" t="inlineStr">
        <is>
          <t>JUNIO</t>
        </is>
      </c>
      <c r="T7" s="100" t="n">
        <v>46174</v>
      </c>
      <c r="U7" s="100" t="n">
        <v>46174</v>
      </c>
      <c r="V7" s="157" t="inlineStr">
        <is>
          <t>PRODUCTO DIGITAL-LA RUTA DEL GOL.pptx</t>
        </is>
      </c>
      <c r="W7" s="306" t="n">
        <v>20000000</v>
      </c>
      <c r="X7" s="86" t="n"/>
      <c r="Y7" s="86" t="n"/>
      <c r="Z7" s="86" t="n"/>
      <c r="AA7" s="86" t="n"/>
      <c r="AB7" s="86" t="n"/>
      <c r="AC7" s="86" t="n"/>
      <c r="AD7" s="86" t="n"/>
      <c r="AE7" s="86" t="n"/>
      <c r="AF7" s="86" t="n"/>
      <c r="AG7" s="86" t="n"/>
      <c r="AH7" s="86" t="n"/>
      <c r="AI7" s="86" t="n"/>
      <c r="AJ7" s="86" t="n">
        <v>6</v>
      </c>
      <c r="AK7" s="102" t="inlineStr">
        <is>
          <t>Equipo Innovación Digital</t>
        </is>
      </c>
      <c r="AN7" t="inlineStr">
        <is>
          <t>Otros</t>
        </is>
      </c>
    </row>
    <row r="8" ht="30" customFormat="1" customHeight="1" s="129">
      <c r="A8" s="98" t="inlineStr">
        <is>
          <t>PRODUCTOS GENERALES</t>
        </is>
      </c>
      <c r="B8" s="98" t="inlineStr">
        <is>
          <t>PRODUCTOS GENERALES</t>
        </is>
      </c>
      <c r="C8" s="98" t="inlineStr">
        <is>
          <t>PRODUCTOS GENERALES</t>
        </is>
      </c>
      <c r="D8" s="305" t="n">
        <v>20000000</v>
      </c>
      <c r="E8" s="98" t="inlineStr">
        <is>
          <t>PROPUESTA DE FRANQUICIAS MUNDIAL 2026</t>
        </is>
      </c>
      <c r="F8" s="98" t="n"/>
      <c r="G8" s="98" t="n"/>
      <c r="H8" s="101" t="inlineStr">
        <is>
          <t>GENERAR PROPUESTA COMERCIAL</t>
        </is>
      </c>
      <c r="I8" s="99" t="n">
        <v>100</v>
      </c>
      <c r="J8" s="98" t="inlineStr">
        <is>
          <t>ENTREGAR PROPUESTA</t>
        </is>
      </c>
      <c r="K8" s="99" t="n">
        <v>100</v>
      </c>
      <c r="L8" s="98" t="inlineStr">
        <is>
          <t>SIN CAMBIOS</t>
        </is>
      </c>
      <c r="M8" s="99" t="n">
        <v>100</v>
      </c>
      <c r="N8" s="98" t="n"/>
      <c r="O8" s="98" t="inlineStr">
        <is>
          <t>En seguimiento</t>
        </is>
      </c>
      <c r="P8" s="98">
        <f>A8&amp;"|"&amp;O8</f>
        <v/>
      </c>
      <c r="Q8" s="98" t="inlineStr">
        <is>
          <t>Media</t>
        </is>
      </c>
      <c r="R8" s="98">
        <f>TRIM(tbl_BasePowerBI[[#This Row],[NOMBRE EJECUTIVO]])</f>
        <v/>
      </c>
      <c r="S8" s="98" t="inlineStr">
        <is>
          <t>JUNIO</t>
        </is>
      </c>
      <c r="T8" s="100" t="n">
        <v>46174</v>
      </c>
      <c r="U8" s="100" t="n">
        <v>46174</v>
      </c>
      <c r="V8" s="157" t="inlineStr">
        <is>
          <t>Producto_Digital_FRANQUICIA MUNDIALISTA.pptx</t>
        </is>
      </c>
      <c r="W8" s="306" t="n">
        <v>20000000</v>
      </c>
      <c r="X8" s="86" t="n"/>
      <c r="Y8" s="86" t="n"/>
      <c r="Z8" s="86" t="n"/>
      <c r="AA8" s="86" t="n"/>
      <c r="AB8" s="86" t="n"/>
      <c r="AC8" s="86" t="n"/>
      <c r="AD8" s="86" t="n"/>
      <c r="AE8" s="86" t="n"/>
      <c r="AF8" s="86" t="n"/>
      <c r="AG8" s="86" t="n"/>
      <c r="AH8" s="86" t="n"/>
      <c r="AI8" s="86" t="n"/>
      <c r="AJ8" s="86" t="n">
        <v>7</v>
      </c>
      <c r="AK8" s="102" t="inlineStr">
        <is>
          <t>Equipo Innovación Digital</t>
        </is>
      </c>
      <c r="AN8" t="inlineStr">
        <is>
          <t>Otros</t>
        </is>
      </c>
    </row>
    <row r="9" ht="30" customFormat="1" customHeight="1" s="129">
      <c r="A9" s="98" t="inlineStr">
        <is>
          <t>PRODUCTOS GENERALES</t>
        </is>
      </c>
      <c r="B9" s="98" t="inlineStr">
        <is>
          <t>PRODUCTOS GENERALES</t>
        </is>
      </c>
      <c r="C9" s="98" t="inlineStr">
        <is>
          <t>PRODUCTOS GENERALES</t>
        </is>
      </c>
      <c r="D9" s="305" t="n">
        <v>20000000</v>
      </c>
      <c r="E9" s="98" t="inlineStr">
        <is>
          <t>PROPUESTA DIGITAL BEAUTY</t>
        </is>
      </c>
      <c r="F9" s="98" t="n"/>
      <c r="G9" s="98" t="n"/>
      <c r="H9" s="101" t="inlineStr">
        <is>
          <t>GENERAR PROPUESTA COMERCIAL</t>
        </is>
      </c>
      <c r="I9" s="99" t="n">
        <v>100</v>
      </c>
      <c r="J9" s="98" t="inlineStr">
        <is>
          <t>ENTREGAR PROPUESTA</t>
        </is>
      </c>
      <c r="K9" s="99" t="n">
        <v>100</v>
      </c>
      <c r="L9" s="98" t="inlineStr">
        <is>
          <t>SIN CAMBIOS</t>
        </is>
      </c>
      <c r="M9" s="99" t="n">
        <v>100</v>
      </c>
      <c r="N9" s="98" t="n"/>
      <c r="O9" s="98" t="inlineStr">
        <is>
          <t>En seguimiento</t>
        </is>
      </c>
      <c r="P9" s="98">
        <f>A9&amp;"|"&amp;O9</f>
        <v/>
      </c>
      <c r="Q9" s="98" t="inlineStr">
        <is>
          <t>Media</t>
        </is>
      </c>
      <c r="R9" s="98">
        <f>TRIM(tbl_BasePowerBI[[#This Row],[NOMBRE EJECUTIVO]])</f>
        <v/>
      </c>
      <c r="S9" s="98" t="inlineStr">
        <is>
          <t>JUNIO</t>
        </is>
      </c>
      <c r="T9" s="100" t="n">
        <v>46174</v>
      </c>
      <c r="U9" s="100" t="n">
        <v>46174</v>
      </c>
      <c r="V9" s="157" t="inlineStr">
        <is>
          <t>Producto_Digital_Universo Beauty.pptx</t>
        </is>
      </c>
      <c r="W9" s="306" t="n">
        <v>20000000</v>
      </c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  <c r="AI9" s="86" t="n"/>
      <c r="AJ9" s="86" t="n">
        <v>8</v>
      </c>
      <c r="AK9" s="102" t="inlineStr">
        <is>
          <t>Equipo Innovación Digital</t>
        </is>
      </c>
      <c r="AN9" t="inlineStr">
        <is>
          <t>Otros</t>
        </is>
      </c>
    </row>
    <row r="10" ht="30" customFormat="1" customHeight="1" s="129">
      <c r="A10" s="98" t="inlineStr">
        <is>
          <t>PRODUCTOS GENERALES</t>
        </is>
      </c>
      <c r="B10" s="98" t="inlineStr">
        <is>
          <t>PRODUCTOS GENERALES</t>
        </is>
      </c>
      <c r="C10" s="98" t="inlineStr">
        <is>
          <t>PRODUCTOS GENERALES</t>
        </is>
      </c>
      <c r="D10" s="305" t="n">
        <v>20000000</v>
      </c>
      <c r="E10" s="98" t="inlineStr">
        <is>
          <t>PROPUESTA DIGITAL CONSTRUCTORAS</t>
        </is>
      </c>
      <c r="F10" s="98" t="n"/>
      <c r="G10" s="98" t="n"/>
      <c r="H10" s="101" t="inlineStr">
        <is>
          <t>GENERAR PROPUESTA COMERCIAL</t>
        </is>
      </c>
      <c r="I10" s="99" t="n">
        <v>100</v>
      </c>
      <c r="J10" s="98" t="inlineStr">
        <is>
          <t>ENTREGAR PROPUESTA</t>
        </is>
      </c>
      <c r="K10" s="99" t="n">
        <v>100</v>
      </c>
      <c r="L10" s="98" t="inlineStr">
        <is>
          <t>SIN CAMBIOS</t>
        </is>
      </c>
      <c r="M10" s="99" t="n">
        <v>100</v>
      </c>
      <c r="N10" s="98" t="n"/>
      <c r="O10" s="98" t="inlineStr">
        <is>
          <t>En seguimiento</t>
        </is>
      </c>
      <c r="P10" s="98">
        <f>A10&amp;"|"&amp;O10</f>
        <v/>
      </c>
      <c r="Q10" s="98" t="inlineStr">
        <is>
          <t>Media</t>
        </is>
      </c>
      <c r="R10" s="98">
        <f>TRIM(tbl_BasePowerBI[[#This Row],[NOMBRE EJECUTIVO]])</f>
        <v/>
      </c>
      <c r="S10" s="98" t="inlineStr">
        <is>
          <t>JUNIO</t>
        </is>
      </c>
      <c r="T10" s="100" t="n">
        <v>46174</v>
      </c>
      <c r="U10" s="100" t="n">
        <v>46174</v>
      </c>
      <c r="V10" s="157" t="inlineStr">
        <is>
          <t>Producto_Digital_LIVING EXPERIENCE.pptx</t>
        </is>
      </c>
      <c r="W10" s="306" t="n">
        <v>20000000</v>
      </c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>
        <v>9</v>
      </c>
      <c r="AK10" s="102" t="inlineStr">
        <is>
          <t>Equipo Innovación Digital</t>
        </is>
      </c>
      <c r="AN10" t="inlineStr">
        <is>
          <t>Otros</t>
        </is>
      </c>
    </row>
    <row r="11" ht="30" customFormat="1" customHeight="1" s="129">
      <c r="A11" s="98" t="inlineStr">
        <is>
          <t>PRODUCTOS GENERALES</t>
        </is>
      </c>
      <c r="B11" s="98" t="inlineStr">
        <is>
          <t>PRODUCTOS GENERALES</t>
        </is>
      </c>
      <c r="C11" s="98" t="inlineStr">
        <is>
          <t>PRODUCTOS GENERALES</t>
        </is>
      </c>
      <c r="D11" s="305" t="n">
        <v>20000000</v>
      </c>
      <c r="E11" s="98" t="inlineStr">
        <is>
          <t>PROPUESTA DIGITAL SHOPPABLE</t>
        </is>
      </c>
      <c r="F11" s="98" t="n"/>
      <c r="G11" s="98" t="n"/>
      <c r="H11" s="101" t="inlineStr">
        <is>
          <t>GENERAR PROPUESTA COMERCIAL</t>
        </is>
      </c>
      <c r="I11" s="99" t="n">
        <v>100</v>
      </c>
      <c r="J11" s="98" t="inlineStr">
        <is>
          <t>ENTREGAR PROPUESTA</t>
        </is>
      </c>
      <c r="K11" s="99" t="n">
        <v>100</v>
      </c>
      <c r="L11" s="98" t="inlineStr">
        <is>
          <t>SIN CAMBIOS</t>
        </is>
      </c>
      <c r="M11" s="99" t="n">
        <v>100</v>
      </c>
      <c r="N11" s="98" t="n"/>
      <c r="O11" s="98" t="inlineStr">
        <is>
          <t>En seguimiento</t>
        </is>
      </c>
      <c r="P11" s="98">
        <f>A11&amp;"|"&amp;O11</f>
        <v/>
      </c>
      <c r="Q11" s="98" t="inlineStr">
        <is>
          <t>Media</t>
        </is>
      </c>
      <c r="R11" s="98">
        <f>TRIM(tbl_BasePowerBI[[#This Row],[NOMBRE EJECUTIVO]])</f>
        <v/>
      </c>
      <c r="S11" s="98" t="inlineStr">
        <is>
          <t>JUNIO</t>
        </is>
      </c>
      <c r="T11" s="100" t="n">
        <v>46174</v>
      </c>
      <c r="U11" s="100" t="n">
        <v>46174</v>
      </c>
      <c r="V11" s="158" t="n"/>
      <c r="W11" s="306" t="n">
        <v>20000000</v>
      </c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86" t="n"/>
      <c r="AG11" s="86" t="n"/>
      <c r="AH11" s="86" t="n"/>
      <c r="AI11" s="86" t="n"/>
      <c r="AJ11" s="86" t="n">
        <v>10</v>
      </c>
      <c r="AK11" s="102" t="inlineStr">
        <is>
          <t>Equipo Innovación Digital</t>
        </is>
      </c>
      <c r="AN11" t="inlineStr">
        <is>
          <t>Otros</t>
        </is>
      </c>
    </row>
    <row r="12" ht="30" customFormat="1" customHeight="1" s="129">
      <c r="A12" s="98" t="inlineStr">
        <is>
          <t>PRODUCTOS GENERALES</t>
        </is>
      </c>
      <c r="B12" s="98" t="inlineStr">
        <is>
          <t>PRODUCTOS GENERALES</t>
        </is>
      </c>
      <c r="C12" s="98" t="inlineStr">
        <is>
          <t>PRODUCTOS GENERALES</t>
        </is>
      </c>
      <c r="D12" s="305" t="n">
        <v>20000000</v>
      </c>
      <c r="E12" s="98" t="inlineStr">
        <is>
          <t>PROPUESTA  DIGITAL TECNOLOGIA DNS</t>
        </is>
      </c>
      <c r="F12" s="98" t="n"/>
      <c r="G12" s="98" t="n"/>
      <c r="H12" s="101" t="inlineStr">
        <is>
          <t>GENERAR PROPUESTA COMERCIAL</t>
        </is>
      </c>
      <c r="I12" s="99" t="n">
        <v>100</v>
      </c>
      <c r="J12" s="98" t="inlineStr">
        <is>
          <t>ENTREGAR PROPUESTA</t>
        </is>
      </c>
      <c r="K12" s="99" t="n">
        <v>100</v>
      </c>
      <c r="L12" s="98" t="inlineStr">
        <is>
          <t>SIN CAMBIOS</t>
        </is>
      </c>
      <c r="M12" s="99" t="n">
        <v>100</v>
      </c>
      <c r="N12" s="98" t="n"/>
      <c r="O12" s="98" t="inlineStr">
        <is>
          <t>En seguimiento</t>
        </is>
      </c>
      <c r="P12" s="98">
        <f>A12&amp;"|"&amp;O12</f>
        <v/>
      </c>
      <c r="Q12" s="98" t="inlineStr">
        <is>
          <t>Media</t>
        </is>
      </c>
      <c r="R12" s="98">
        <f>TRIM(tbl_BasePowerBI[[#This Row],[NOMBRE EJECUTIVO]])</f>
        <v/>
      </c>
      <c r="S12" s="98" t="inlineStr">
        <is>
          <t>JUNIO</t>
        </is>
      </c>
      <c r="T12" s="100" t="n">
        <v>46174</v>
      </c>
      <c r="U12" s="100" t="n">
        <v>46174</v>
      </c>
      <c r="V12" s="157" t="inlineStr">
        <is>
          <t>Producto_Digital_RADIO INTERACTIVO.pptx</t>
        </is>
      </c>
      <c r="W12" s="306" t="n">
        <v>20000000</v>
      </c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  <c r="AI12" s="86" t="n"/>
      <c r="AJ12" s="86" t="n">
        <v>11</v>
      </c>
      <c r="AK12" s="102" t="inlineStr">
        <is>
          <t>Equipo Innovación Digital</t>
        </is>
      </c>
      <c r="AN12" t="inlineStr">
        <is>
          <t>Otros</t>
        </is>
      </c>
    </row>
    <row r="13" ht="30" customFormat="1" customHeight="1" s="129">
      <c r="A13" s="98" t="inlineStr">
        <is>
          <t>PRODUCTOS GENERALES</t>
        </is>
      </c>
      <c r="B13" s="98" t="inlineStr">
        <is>
          <t>PRODUCTOS GENERALES</t>
        </is>
      </c>
      <c r="C13" s="98" t="inlineStr">
        <is>
          <t>PRODUCTOS GENERALES</t>
        </is>
      </c>
      <c r="D13" s="305" t="n">
        <v>20000000</v>
      </c>
      <c r="E13" s="98" t="inlineStr">
        <is>
          <t>DESARROLO DE AGENTE DE IA</t>
        </is>
      </c>
      <c r="F13" s="98" t="n"/>
      <c r="G13" s="98" t="n"/>
      <c r="H13" s="101" t="inlineStr">
        <is>
          <t>GENERAR PROPUESTA COMERCIAL</t>
        </is>
      </c>
      <c r="I13" s="99" t="n">
        <v>100</v>
      </c>
      <c r="J13" s="98" t="inlineStr">
        <is>
          <t>ENTREGAR PROPUESTA</t>
        </is>
      </c>
      <c r="K13" s="99" t="n">
        <v>100</v>
      </c>
      <c r="L13" s="98" t="inlineStr">
        <is>
          <t>SIN CAMBIOS</t>
        </is>
      </c>
      <c r="M13" s="99" t="n">
        <v>100</v>
      </c>
      <c r="N13" s="98" t="n"/>
      <c r="O13" s="98" t="inlineStr">
        <is>
          <t>En seguimiento</t>
        </is>
      </c>
      <c r="P13" s="98">
        <f>A13&amp;"|"&amp;O13</f>
        <v/>
      </c>
      <c r="Q13" s="98" t="inlineStr">
        <is>
          <t>Media</t>
        </is>
      </c>
      <c r="R13" s="98">
        <f>TRIM(tbl_BasePowerBI[[#This Row],[NOMBRE EJECUTIVO]])</f>
        <v/>
      </c>
      <c r="S13" s="98" t="inlineStr">
        <is>
          <t>JUNIO</t>
        </is>
      </c>
      <c r="T13" s="100" t="n">
        <v>46174</v>
      </c>
      <c r="U13" s="100" t="n">
        <v>46174</v>
      </c>
      <c r="V13" s="158" t="n"/>
      <c r="W13" s="306" t="n">
        <v>20000000</v>
      </c>
      <c r="X13" s="86" t="n"/>
      <c r="Y13" s="86" t="n"/>
      <c r="Z13" s="86" t="n"/>
      <c r="AA13" s="86" t="n"/>
      <c r="AB13" s="86" t="n"/>
      <c r="AC13" s="86" t="n"/>
      <c r="AD13" s="86" t="n"/>
      <c r="AE13" s="86" t="n"/>
      <c r="AF13" s="86" t="n"/>
      <c r="AG13" s="86" t="n"/>
      <c r="AH13" s="86" t="n"/>
      <c r="AI13" s="86" t="n"/>
      <c r="AJ13" s="86" t="n">
        <v>12</v>
      </c>
      <c r="AK13" s="102" t="inlineStr">
        <is>
          <t>Equipo Innovación Digital</t>
        </is>
      </c>
      <c r="AN13" t="inlineStr">
        <is>
          <t>Otros</t>
        </is>
      </c>
    </row>
    <row r="14" ht="56.25" customFormat="1" customHeight="1" s="129">
      <c r="A14" s="98" t="inlineStr">
        <is>
          <t>PRODUCTOS GENERALES</t>
        </is>
      </c>
      <c r="B14" s="98" t="inlineStr">
        <is>
          <t>PRODUCTOS GENERALES</t>
        </is>
      </c>
      <c r="C14" s="98" t="inlineStr">
        <is>
          <t>CONEXIÓN PRISA</t>
        </is>
      </c>
      <c r="D14" s="305" t="n">
        <v>20000000</v>
      </c>
      <c r="E14" s="101" t="inlineStr">
        <is>
          <t>CONEXIÓN PRISA
UNA DINÁMICA COMERCIAL QUE PRESENTA PRODUCTOS DIGITALES EXCLUSIVOS PARA CADA RUBRO, IMPULSANDO OPORTUNIDADES DE NEGOCIO EN TIEMPO REAL.</t>
        </is>
      </c>
      <c r="F14" s="98" t="n"/>
      <c r="G14" s="98" t="n"/>
      <c r="H14" s="101" t="inlineStr">
        <is>
          <t>Entregar la propuesta digital al area comercial</t>
        </is>
      </c>
      <c r="I14" s="99" t="n">
        <v>100</v>
      </c>
      <c r="J14" s="98" t="inlineStr">
        <is>
          <t>Seguimiento – Evento 22 de julio</t>
        </is>
      </c>
      <c r="K14" s="99" t="n">
        <v>50</v>
      </c>
      <c r="L14" s="98" t="inlineStr">
        <is>
          <t>SIN CAMBIOS</t>
        </is>
      </c>
      <c r="M14" s="99" t="n"/>
      <c r="N14" s="98" t="n"/>
      <c r="O14" s="98" t="inlineStr">
        <is>
          <t>En seguimiento</t>
        </is>
      </c>
      <c r="P14" s="98">
        <f>A14&amp;"|"&amp;O14</f>
        <v/>
      </c>
      <c r="Q14" s="98" t="inlineStr">
        <is>
          <t>Alta</t>
        </is>
      </c>
      <c r="R14" s="98" t="inlineStr">
        <is>
          <t>PRODUCTOS GENERALES</t>
        </is>
      </c>
      <c r="S14" s="98" t="inlineStr">
        <is>
          <t>JULIO</t>
        </is>
      </c>
      <c r="T14" s="100" t="n">
        <v>46209</v>
      </c>
      <c r="U14" s="100" t="n">
        <v>46209</v>
      </c>
      <c r="V14" s="157" t="inlineStr">
        <is>
          <t>Producto_Digital-CONEXIÓN PRISA.pptx</t>
        </is>
      </c>
      <c r="W14" s="306" t="n">
        <v>20000000</v>
      </c>
      <c r="X14" s="86" t="n"/>
      <c r="Y14" s="86" t="n"/>
      <c r="Z14" s="86" t="n"/>
      <c r="AA14" s="86" t="n"/>
      <c r="AB14" s="86" t="n"/>
      <c r="AC14" s="86" t="n"/>
      <c r="AD14" s="86" t="n"/>
      <c r="AE14" s="86" t="n"/>
      <c r="AF14" s="86" t="n"/>
      <c r="AG14" s="86" t="n"/>
      <c r="AH14" s="86" t="n"/>
      <c r="AI14" s="86" t="n"/>
      <c r="AJ14" s="86" t="n">
        <v>13</v>
      </c>
      <c r="AK14" s="102" t="inlineStr">
        <is>
          <t>Equipo Innovación Digital</t>
        </is>
      </c>
      <c r="AN14" t="inlineStr">
        <is>
          <t>Otros</t>
        </is>
      </c>
    </row>
    <row r="15" ht="30" customFormat="1" customHeight="1" s="129">
      <c r="A15" s="98" t="inlineStr">
        <is>
          <t>N1</t>
        </is>
      </c>
      <c r="B15" s="101" t="inlineStr">
        <is>
          <t>Andrea Morales</t>
        </is>
      </c>
      <c r="C15" s="98" t="inlineStr">
        <is>
          <t>MANTEQUILLA LA BUENA</t>
        </is>
      </c>
      <c r="D15" s="305" t="n">
        <v>40000000</v>
      </c>
      <c r="E15" s="98" t="inlineStr">
        <is>
          <t>PROPUESTA CAPSULAS FRANQUICIAS - PROBANDO PROBANDO Y CHICAS EN SU SALSA</t>
        </is>
      </c>
      <c r="F15" s="98" t="n"/>
      <c r="G15" s="98" t="n"/>
      <c r="H15" s="101" t="inlineStr">
        <is>
          <t>GENERAR PROPUESTA COMERCIAL</t>
        </is>
      </c>
      <c r="I15" s="99" t="n">
        <v>100</v>
      </c>
      <c r="J15" s="98" t="inlineStr">
        <is>
          <t>ENTREGAR PROPUESTA</t>
        </is>
      </c>
      <c r="K15" s="99" t="n">
        <v>100</v>
      </c>
      <c r="L15" s="98" t="inlineStr">
        <is>
          <t>SIN CAMBIOS</t>
        </is>
      </c>
      <c r="M15" s="99" t="n">
        <v>50</v>
      </c>
      <c r="N15" s="98" t="n"/>
      <c r="O15" s="98" t="inlineStr">
        <is>
          <t>En seguimiento</t>
        </is>
      </c>
      <c r="P15" s="98">
        <f>A15&amp;"|"&amp;O15</f>
        <v/>
      </c>
      <c r="Q15" s="98" t="inlineStr">
        <is>
          <t>Media</t>
        </is>
      </c>
      <c r="R15" s="98">
        <f>TRIM(tbl_BasePowerBI[[#This Row],[NOMBRE EJECUTIVO]])</f>
        <v/>
      </c>
      <c r="S15" s="98" t="inlineStr">
        <is>
          <t>JUNIO</t>
        </is>
      </c>
      <c r="T15" s="100" t="n">
        <v>46195</v>
      </c>
      <c r="U15" s="106" t="n">
        <v>46225</v>
      </c>
      <c r="V15" s="159" t="inlineStr">
        <is>
          <t>PRODUCTO DIGITAL - LA BUENA.pptx</t>
        </is>
      </c>
      <c r="W15" s="307" t="n">
        <v>42014863</v>
      </c>
      <c r="X15" s="86" t="n"/>
      <c r="Y15" s="86" t="n"/>
      <c r="Z15" s="86" t="n"/>
      <c r="AA15" s="86" t="n"/>
      <c r="AB15" s="86" t="n"/>
      <c r="AC15" s="86" t="n"/>
      <c r="AD15" s="86" t="n"/>
      <c r="AE15" s="86" t="n"/>
      <c r="AF15" s="86" t="n"/>
      <c r="AG15" s="86" t="n"/>
      <c r="AH15" s="86" t="n"/>
      <c r="AI15" s="86" t="n"/>
      <c r="AJ15" s="86" t="n">
        <v>14</v>
      </c>
      <c r="AK15" s="102" t="inlineStr">
        <is>
          <t>Sthefanie Botello</t>
        </is>
      </c>
      <c r="AN15" t="inlineStr">
        <is>
          <t>Consumo Masivo</t>
        </is>
      </c>
    </row>
    <row r="16" ht="30" customFormat="1" customHeight="1" s="129">
      <c r="A16" s="102" t="inlineStr">
        <is>
          <t>N1</t>
        </is>
      </c>
      <c r="B16" s="103" t="inlineStr">
        <is>
          <t>Diana Contreras Rodriguez</t>
        </is>
      </c>
      <c r="C16" s="104" t="inlineStr">
        <is>
          <t>YALE</t>
        </is>
      </c>
      <c r="D16" s="308" t="n">
        <v>0</v>
      </c>
      <c r="E16" s="102" t="inlineStr">
        <is>
          <t>DESARROLO DE PROPUESTA DIGITAL</t>
        </is>
      </c>
      <c r="F16" s="102" t="n"/>
      <c r="G16" s="102" t="n"/>
      <c r="H16" s="103" t="inlineStr">
        <is>
          <t>GENERAR PROPUESTA COMERCIAL</t>
        </is>
      </c>
      <c r="I16" s="105" t="n"/>
      <c r="J16" s="102" t="n"/>
      <c r="K16" s="105" t="n"/>
      <c r="L16" s="102" t="n"/>
      <c r="M16" s="105" t="n"/>
      <c r="N16" s="102" t="n"/>
      <c r="O16" s="102" t="inlineStr">
        <is>
          <t>Por Mejorar</t>
        </is>
      </c>
      <c r="P16" s="102">
        <f>A16&amp;"|"&amp;O16</f>
        <v/>
      </c>
      <c r="Q16" s="102" t="inlineStr">
        <is>
          <t>Alta</t>
        </is>
      </c>
      <c r="R16" s="102">
        <f>TRIM(tbl_BasePowerBI[[#This Row],[NOMBRE EJECUTIVO]])</f>
        <v/>
      </c>
      <c r="S16" s="102" t="n"/>
      <c r="T16" s="106" t="n"/>
      <c r="U16" s="106" t="n"/>
      <c r="V16" s="160" t="n"/>
      <c r="W16" s="307" t="n">
        <v>0</v>
      </c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>
        <v>15</v>
      </c>
      <c r="AK16" s="102" t="n"/>
      <c r="AN16" t="inlineStr">
        <is>
          <t>Servicios</t>
        </is>
      </c>
    </row>
    <row r="17" ht="30" customFormat="1" customHeight="1" s="129">
      <c r="A17" s="102" t="inlineStr">
        <is>
          <t>N1</t>
        </is>
      </c>
      <c r="B17" s="103" t="inlineStr">
        <is>
          <t>Rosa Diaz</t>
        </is>
      </c>
      <c r="C17" s="104" t="inlineStr">
        <is>
          <t>CAFAM</t>
        </is>
      </c>
      <c r="D17" s="308" t="n">
        <v>0</v>
      </c>
      <c r="E17" s="102" t="inlineStr">
        <is>
          <t>DESARROLO DE PROPUESTA DIGITAL</t>
        </is>
      </c>
      <c r="F17" s="102" t="n"/>
      <c r="G17" s="102" t="n"/>
      <c r="H17" s="103" t="inlineStr">
        <is>
          <t>GENERAR PROPUESTA COMERCIAL</t>
        </is>
      </c>
      <c r="I17" s="105" t="n"/>
      <c r="J17" s="102" t="n"/>
      <c r="K17" s="105" t="n"/>
      <c r="L17" s="102" t="n"/>
      <c r="M17" s="105" t="n"/>
      <c r="N17" s="102" t="n"/>
      <c r="O17" s="102" t="inlineStr">
        <is>
          <t>Por Mejorar</t>
        </is>
      </c>
      <c r="P17" s="102">
        <f>A17&amp;"|"&amp;O17</f>
        <v/>
      </c>
      <c r="Q17" s="102" t="inlineStr">
        <is>
          <t>Alta</t>
        </is>
      </c>
      <c r="R17" s="102">
        <f>TRIM(tbl_BasePowerBI[[#This Row],[NOMBRE EJECUTIVO]])</f>
        <v/>
      </c>
      <c r="S17" s="102" t="n"/>
      <c r="T17" s="106" t="n"/>
      <c r="U17" s="106" t="n"/>
      <c r="V17" s="160" t="n"/>
      <c r="W17" s="307" t="n">
        <v>0</v>
      </c>
      <c r="X17" s="86" t="n"/>
      <c r="Y17" s="86" t="n"/>
      <c r="Z17" s="86" t="n"/>
      <c r="AA17" s="86" t="n"/>
      <c r="AB17" s="86" t="n"/>
      <c r="AC17" s="86" t="n"/>
      <c r="AD17" s="86" t="n"/>
      <c r="AE17" s="86" t="n"/>
      <c r="AF17" s="86" t="n"/>
      <c r="AG17" s="86" t="n"/>
      <c r="AH17" s="86" t="n"/>
      <c r="AI17" s="86" t="n"/>
      <c r="AJ17" s="86" t="n">
        <v>16</v>
      </c>
      <c r="AK17" s="102" t="n"/>
      <c r="AN17" t="inlineStr">
        <is>
          <t>Salud</t>
        </is>
      </c>
    </row>
    <row r="18" ht="30" customFormat="1" customHeight="1" s="129">
      <c r="A18" s="102" t="inlineStr">
        <is>
          <t>N1</t>
        </is>
      </c>
      <c r="B18" s="103" t="inlineStr">
        <is>
          <t>Rosa Diaz</t>
        </is>
      </c>
      <c r="C18" s="104" t="inlineStr">
        <is>
          <t>KOALA</t>
        </is>
      </c>
      <c r="D18" s="308" t="n">
        <v>0</v>
      </c>
      <c r="E18" s="102" t="inlineStr">
        <is>
          <t>DESARROLO DE PROPUESTA DIGITAL</t>
        </is>
      </c>
      <c r="F18" s="102" t="n"/>
      <c r="G18" s="102" t="n"/>
      <c r="H18" s="103" t="inlineStr">
        <is>
          <t>GENERAR PROPUESTA COMERCIAL</t>
        </is>
      </c>
      <c r="I18" s="105" t="n"/>
      <c r="J18" s="102" t="n"/>
      <c r="K18" s="105" t="n"/>
      <c r="L18" s="102" t="n"/>
      <c r="M18" s="105" t="n"/>
      <c r="N18" s="102" t="n"/>
      <c r="O18" s="102" t="inlineStr">
        <is>
          <t>Por Mejorar</t>
        </is>
      </c>
      <c r="P18" s="102">
        <f>A18&amp;"|"&amp;O18</f>
        <v/>
      </c>
      <c r="Q18" s="102" t="inlineStr">
        <is>
          <t>Alta</t>
        </is>
      </c>
      <c r="R18" s="102">
        <f>TRIM(tbl_BasePowerBI[[#This Row],[NOMBRE EJECUTIVO]])</f>
        <v/>
      </c>
      <c r="S18" s="102" t="n"/>
      <c r="T18" s="106" t="n"/>
      <c r="U18" s="106" t="n"/>
      <c r="V18" s="160" t="n"/>
      <c r="W18" s="307" t="n">
        <v>0</v>
      </c>
      <c r="X18" s="86" t="n"/>
      <c r="Y18" s="86" t="n"/>
      <c r="Z18" s="86" t="n"/>
      <c r="AA18" s="86" t="n"/>
      <c r="AB18" s="86" t="n"/>
      <c r="AC18" s="86" t="n"/>
      <c r="AD18" s="86" t="n"/>
      <c r="AE18" s="86" t="n"/>
      <c r="AF18" s="86" t="n"/>
      <c r="AG18" s="86" t="n"/>
      <c r="AH18" s="86" t="n"/>
      <c r="AI18" s="86" t="n"/>
      <c r="AJ18" s="86" t="n">
        <v>17</v>
      </c>
      <c r="AK18" s="102" t="n"/>
      <c r="AN18" t="inlineStr">
        <is>
          <t>Consumo Masivo</t>
        </is>
      </c>
    </row>
    <row r="19" ht="30" customFormat="1" customHeight="1" s="129">
      <c r="A19" s="98" t="inlineStr">
        <is>
          <t>N1</t>
        </is>
      </c>
      <c r="B19" s="101" t="inlineStr">
        <is>
          <t>Rosa Diaz</t>
        </is>
      </c>
      <c r="C19" s="107" t="inlineStr">
        <is>
          <t>NISSAN</t>
        </is>
      </c>
      <c r="D19" s="305" t="n">
        <v>50000000</v>
      </c>
      <c r="E19" s="98" t="inlineStr">
        <is>
          <t>DESARROLO DE PROPUESTA DIGITAL</t>
        </is>
      </c>
      <c r="F19" s="98" t="n"/>
      <c r="G19" s="98" t="n"/>
      <c r="H19" s="101" t="inlineStr">
        <is>
          <t>GENERAR PROPUESTA COMERCIAL</t>
        </is>
      </c>
      <c r="I19" s="99" t="n">
        <v>100</v>
      </c>
      <c r="J19" s="98" t="inlineStr">
        <is>
          <t>ENTREGAR PROPUESTA</t>
        </is>
      </c>
      <c r="K19" s="99" t="n">
        <v>100</v>
      </c>
      <c r="L19" s="98" t="n"/>
      <c r="M19" s="99" t="n"/>
      <c r="N19" s="98" t="n"/>
      <c r="O19" s="98" t="inlineStr">
        <is>
          <t>En seguimiento</t>
        </is>
      </c>
      <c r="P19" s="98">
        <f>A19&amp;"|"&amp;O19</f>
        <v/>
      </c>
      <c r="Q19" s="98" t="inlineStr">
        <is>
          <t>Alta</t>
        </is>
      </c>
      <c r="R19" s="98">
        <f>TRIM(tbl_BasePowerBI[[#This Row],[NOMBRE EJECUTIVO]])</f>
        <v/>
      </c>
      <c r="S19" s="98" t="inlineStr">
        <is>
          <t>JULIO</t>
        </is>
      </c>
      <c r="T19" s="100" t="n">
        <v>46224</v>
      </c>
      <c r="U19" s="100" t="n">
        <v>46233</v>
      </c>
      <c r="V19" s="157" t="inlineStr">
        <is>
          <t>https://grupoprisa-my.sharepoint.com/:p:/g/personal/juangodoy_est_caracol_com_co/IQCYkmJrdbInS4u8M93JA0qcAZGDL-39y8dP9-zxG8YRQ3k</t>
        </is>
      </c>
      <c r="W19" s="306" t="n">
        <v>58000000</v>
      </c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>
        <v>18</v>
      </c>
      <c r="AK19" s="102" t="inlineStr">
        <is>
          <t>Juan Pablo Godoy</t>
        </is>
      </c>
      <c r="AN19" t="inlineStr">
        <is>
          <t>Automotriz</t>
        </is>
      </c>
    </row>
    <row r="20" ht="30" customFormat="1" customHeight="1" s="129">
      <c r="A20" s="98" t="inlineStr">
        <is>
          <t>N1</t>
        </is>
      </c>
      <c r="B20" s="101" t="inlineStr">
        <is>
          <t>Rosa Diaz</t>
        </is>
      </c>
      <c r="C20" s="107" t="inlineStr">
        <is>
          <t>CHANGAN</t>
        </is>
      </c>
      <c r="D20" s="305" t="n">
        <v>50000000</v>
      </c>
      <c r="E20" s="98" t="inlineStr">
        <is>
          <t>DESARROLO DE PROPUESTA DIGITAL</t>
        </is>
      </c>
      <c r="F20" s="98" t="n"/>
      <c r="G20" s="98" t="n"/>
      <c r="H20" s="101" t="inlineStr">
        <is>
          <t>GENERAR PROPUESTA COMERCIAL</t>
        </is>
      </c>
      <c r="I20" s="99" t="n">
        <v>100</v>
      </c>
      <c r="J20" s="98" t="inlineStr">
        <is>
          <t>ENTREGAR PROPUESTA</t>
        </is>
      </c>
      <c r="K20" s="99" t="n">
        <v>100</v>
      </c>
      <c r="L20" s="98" t="n"/>
      <c r="M20" s="99" t="n"/>
      <c r="N20" s="98" t="n"/>
      <c r="O20" s="98" t="inlineStr">
        <is>
          <t>En seguimiento</t>
        </is>
      </c>
      <c r="P20" s="98">
        <f>A20&amp;"|"&amp;O20</f>
        <v/>
      </c>
      <c r="Q20" s="98" t="inlineStr">
        <is>
          <t>Alta</t>
        </is>
      </c>
      <c r="R20" s="98">
        <f>TRIM(tbl_BasePowerBI[[#This Row],[NOMBRE EJECUTIVO]])</f>
        <v/>
      </c>
      <c r="S20" s="98" t="inlineStr">
        <is>
          <t>JULIO</t>
        </is>
      </c>
      <c r="T20" s="100" t="n">
        <v>46224</v>
      </c>
      <c r="U20" s="100" t="n">
        <v>46233</v>
      </c>
      <c r="V20" s="157" t="inlineStr">
        <is>
          <t>https://grupoprisa-my.sharepoint.com/:p:/g/personal/juangodoy_est_caracol_com_co/IQCHxe3NSSkMSpsZDwFQ5LU5Ac7jtZiYMDl8eyyLQMcBTDw</t>
        </is>
      </c>
      <c r="W20" s="306" t="n">
        <v>58000000</v>
      </c>
      <c r="X20" s="96" t="n"/>
      <c r="Y20" s="96" t="n"/>
      <c r="Z20" s="96" t="n"/>
      <c r="AA20" s="96" t="n"/>
      <c r="AB20" s="96" t="n"/>
      <c r="AC20" s="96" t="n"/>
      <c r="AD20" s="96" t="n"/>
      <c r="AE20" s="96" t="n"/>
      <c r="AF20" s="96" t="n"/>
      <c r="AG20" s="96" t="n"/>
      <c r="AH20" s="86" t="n"/>
      <c r="AI20" s="86" t="n"/>
      <c r="AJ20" s="86" t="n"/>
      <c r="AK20" s="102" t="inlineStr">
        <is>
          <t>Juan Pablo Godoy</t>
        </is>
      </c>
      <c r="AN20" t="inlineStr">
        <is>
          <t>Automotriz</t>
        </is>
      </c>
    </row>
    <row r="21" ht="30" customFormat="1" customHeight="1" s="129">
      <c r="A21" s="102" t="inlineStr">
        <is>
          <t>N1</t>
        </is>
      </c>
      <c r="B21" s="103" t="inlineStr">
        <is>
          <t>Rosa Diaz</t>
        </is>
      </c>
      <c r="C21" s="104" t="inlineStr">
        <is>
          <t>PORCHE</t>
        </is>
      </c>
      <c r="D21" s="308" t="n">
        <v>0</v>
      </c>
      <c r="E21" s="102" t="inlineStr">
        <is>
          <t>DESARROLO DE PROPUESTA DIGITAL</t>
        </is>
      </c>
      <c r="F21" s="102" t="n"/>
      <c r="G21" s="102" t="n"/>
      <c r="H21" s="103" t="inlineStr">
        <is>
          <t>GENERAR PROPUESTA COMERCIAL</t>
        </is>
      </c>
      <c r="I21" s="105" t="n"/>
      <c r="J21" s="102" t="n"/>
      <c r="K21" s="105" t="n"/>
      <c r="L21" s="102" t="n"/>
      <c r="M21" s="105" t="n"/>
      <c r="N21" s="102" t="n"/>
      <c r="O21" s="102" t="inlineStr">
        <is>
          <t>Por Mejorar</t>
        </is>
      </c>
      <c r="P21" s="102">
        <f>A21&amp;"|"&amp;O21</f>
        <v/>
      </c>
      <c r="Q21" s="102" t="inlineStr">
        <is>
          <t>Alta</t>
        </is>
      </c>
      <c r="R21" s="102">
        <f>TRIM(tbl_BasePowerBI[[#This Row],[NOMBRE EJECUTIVO]])</f>
        <v/>
      </c>
      <c r="S21" s="102" t="n"/>
      <c r="T21" s="106" t="n"/>
      <c r="U21" s="106" t="n"/>
      <c r="V21" s="160" t="n"/>
      <c r="W21" s="307" t="n">
        <v>0</v>
      </c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>
        <v>19</v>
      </c>
      <c r="AK21" s="102" t="n"/>
      <c r="AN21" t="inlineStr">
        <is>
          <t>Automotriz</t>
        </is>
      </c>
    </row>
    <row r="22" ht="30" customFormat="1" customHeight="1" s="129">
      <c r="A22" s="102" t="inlineStr">
        <is>
          <t>N1</t>
        </is>
      </c>
      <c r="B22" s="103" t="inlineStr">
        <is>
          <t>Felipe Guillen</t>
        </is>
      </c>
      <c r="C22" s="104" t="inlineStr">
        <is>
          <t>SAMSUNG</t>
        </is>
      </c>
      <c r="D22" s="308" t="n">
        <v>0</v>
      </c>
      <c r="E22" s="102" t="inlineStr">
        <is>
          <t>DESARROLO DE PROPUESTA DIGITAL</t>
        </is>
      </c>
      <c r="F22" s="102" t="n"/>
      <c r="G22" s="102" t="n"/>
      <c r="H22" s="103" t="inlineStr">
        <is>
          <t>GENERAR PROPUESTA COMERCIAL</t>
        </is>
      </c>
      <c r="I22" s="105" t="n"/>
      <c r="J22" s="102" t="n"/>
      <c r="K22" s="105" t="n"/>
      <c r="L22" s="102" t="n"/>
      <c r="M22" s="105" t="n"/>
      <c r="N22" s="102" t="n"/>
      <c r="O22" s="102" t="inlineStr">
        <is>
          <t>Por Mejorar</t>
        </is>
      </c>
      <c r="P22" s="102">
        <f>A22&amp;"|"&amp;O22</f>
        <v/>
      </c>
      <c r="Q22" s="102" t="inlineStr">
        <is>
          <t>Alta</t>
        </is>
      </c>
      <c r="R22" s="102">
        <f>TRIM(tbl_BasePowerBI[[#This Row],[NOMBRE EJECUTIVO]])</f>
        <v/>
      </c>
      <c r="S22" s="102" t="n"/>
      <c r="T22" s="106" t="n"/>
      <c r="U22" s="106" t="n"/>
      <c r="V22" s="160" t="n"/>
      <c r="W22" s="307" t="n">
        <v>0</v>
      </c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  <c r="AI22" s="86" t="n"/>
      <c r="AJ22" s="86" t="n">
        <v>21</v>
      </c>
      <c r="AK22" s="102" t="n"/>
      <c r="AN22" t="inlineStr">
        <is>
          <t>Tecnología</t>
        </is>
      </c>
    </row>
    <row r="23" ht="30" customFormat="1" customHeight="1" s="129">
      <c r="A23" s="102" t="inlineStr">
        <is>
          <t>N1</t>
        </is>
      </c>
      <c r="B23" s="103" t="inlineStr">
        <is>
          <t>Diana Contreras Rodriguez</t>
        </is>
      </c>
      <c r="C23" s="104" t="inlineStr">
        <is>
          <t>PLEXI</t>
        </is>
      </c>
      <c r="D23" s="308" t="n">
        <v>0</v>
      </c>
      <c r="E23" s="102" t="inlineStr">
        <is>
          <t>DESARROLO DE PROPUESTA DIGITAL</t>
        </is>
      </c>
      <c r="F23" s="102" t="n"/>
      <c r="G23" s="102" t="n"/>
      <c r="H23" s="103" t="inlineStr">
        <is>
          <t>GENERAR PROPUESTA COMERCIAL</t>
        </is>
      </c>
      <c r="I23" s="105" t="n"/>
      <c r="J23" s="102" t="n"/>
      <c r="K23" s="105" t="n"/>
      <c r="L23" s="102" t="n"/>
      <c r="M23" s="105" t="n"/>
      <c r="N23" s="102" t="n"/>
      <c r="O23" s="102" t="inlineStr">
        <is>
          <t>Por Mejorar</t>
        </is>
      </c>
      <c r="P23" s="102">
        <f>A23&amp;"|"&amp;O23</f>
        <v/>
      </c>
      <c r="Q23" s="102" t="inlineStr">
        <is>
          <t>Alta</t>
        </is>
      </c>
      <c r="R23" s="102">
        <f>TRIM(tbl_BasePowerBI[[#This Row],[NOMBRE EJECUTIVO]])</f>
        <v/>
      </c>
      <c r="S23" s="102" t="n"/>
      <c r="T23" s="106" t="n"/>
      <c r="U23" s="106" t="n"/>
      <c r="V23" s="160" t="n"/>
      <c r="W23" s="307" t="n">
        <v>0</v>
      </c>
      <c r="X23" s="86" t="n"/>
      <c r="Y23" s="86" t="n"/>
      <c r="Z23" s="86" t="n"/>
      <c r="AA23" s="86" t="n"/>
      <c r="AB23" s="86" t="n"/>
      <c r="AC23" s="86" t="n"/>
      <c r="AD23" s="86" t="n"/>
      <c r="AE23" s="86" t="n"/>
      <c r="AF23" s="86" t="n"/>
      <c r="AG23" s="86" t="n"/>
      <c r="AH23" s="86" t="n"/>
      <c r="AI23" s="86" t="n"/>
      <c r="AJ23" s="86" t="n">
        <v>23</v>
      </c>
      <c r="AK23" s="102" t="n"/>
      <c r="AN23" t="inlineStr">
        <is>
          <t>Consumo Masivo</t>
        </is>
      </c>
    </row>
    <row r="24" ht="30" customFormat="1" customHeight="1" s="129">
      <c r="A24" s="102" t="inlineStr">
        <is>
          <t>N1</t>
        </is>
      </c>
      <c r="B24" s="103" t="inlineStr">
        <is>
          <t>Felipe Guillen</t>
        </is>
      </c>
      <c r="C24" s="104" t="inlineStr">
        <is>
          <t>PRIMAX</t>
        </is>
      </c>
      <c r="D24" s="308" t="n">
        <v>0</v>
      </c>
      <c r="E24" s="102" t="inlineStr">
        <is>
          <t>DESARROLO DE PROPUESTA DIGITAL</t>
        </is>
      </c>
      <c r="F24" s="102" t="n"/>
      <c r="G24" s="102" t="n"/>
      <c r="H24" s="103" t="inlineStr">
        <is>
          <t>GENERAR PROPUESTA COMERCIAL</t>
        </is>
      </c>
      <c r="I24" s="105" t="n"/>
      <c r="J24" s="102" t="n"/>
      <c r="K24" s="105" t="n"/>
      <c r="L24" s="102" t="n"/>
      <c r="M24" s="105" t="n"/>
      <c r="N24" s="102" t="n"/>
      <c r="O24" s="102" t="inlineStr">
        <is>
          <t>Por Mejorar</t>
        </is>
      </c>
      <c r="P24" s="102">
        <f>A24&amp;"|"&amp;O24</f>
        <v/>
      </c>
      <c r="Q24" s="102" t="inlineStr">
        <is>
          <t>Alta</t>
        </is>
      </c>
      <c r="R24" s="102">
        <f>TRIM(tbl_BasePowerBI[[#This Row],[NOMBRE EJECUTIVO]])</f>
        <v/>
      </c>
      <c r="S24" s="102" t="n"/>
      <c r="T24" s="106" t="n"/>
      <c r="U24" s="106" t="n"/>
      <c r="V24" s="160" t="n"/>
      <c r="W24" s="307" t="n">
        <v>0</v>
      </c>
      <c r="X24" s="86" t="n"/>
      <c r="Y24" s="86" t="n"/>
      <c r="Z24" s="86" t="n"/>
      <c r="AA24" s="86" t="n"/>
      <c r="AB24" s="86" t="n"/>
      <c r="AC24" s="86" t="n"/>
      <c r="AD24" s="86" t="n"/>
      <c r="AE24" s="86" t="n"/>
      <c r="AF24" s="86" t="n"/>
      <c r="AG24" s="86" t="n"/>
      <c r="AH24" s="86" t="n"/>
      <c r="AI24" s="86" t="n"/>
      <c r="AJ24" s="86" t="n">
        <v>24</v>
      </c>
      <c r="AK24" s="102" t="n"/>
      <c r="AN24" t="inlineStr">
        <is>
          <t>Consumo Masivo</t>
        </is>
      </c>
    </row>
    <row r="25" ht="30" customFormat="1" customHeight="1" s="129">
      <c r="A25" s="98" t="inlineStr">
        <is>
          <t>N1</t>
        </is>
      </c>
      <c r="B25" s="101" t="inlineStr">
        <is>
          <t>Carolina Diaz</t>
        </is>
      </c>
      <c r="C25" s="107" t="inlineStr">
        <is>
          <t>COLSANITAS</t>
        </is>
      </c>
      <c r="D25" s="305" t="n">
        <v>0</v>
      </c>
      <c r="E25" s="98" t="inlineStr">
        <is>
          <t>DESARROLO DE PROPUESTA DIGITAL</t>
        </is>
      </c>
      <c r="F25" s="98" t="n"/>
      <c r="G25" s="98" t="n"/>
      <c r="H25" s="101" t="inlineStr">
        <is>
          <t>GENERAR PROPUESTA COMERCIAL</t>
        </is>
      </c>
      <c r="I25" s="99" t="n"/>
      <c r="J25" s="98" t="inlineStr">
        <is>
          <t>SE DESARROLLO UNA PROPUESTA PARA MUNDO COLSANITAS (PODCAST, CHAT IA)</t>
        </is>
      </c>
      <c r="K25" s="99" t="n">
        <v>100</v>
      </c>
      <c r="L25" s="98" t="inlineStr">
        <is>
          <t>REALIZAR SEGUIMIENTO A LA PROPUESTA PARA CONOCER SU ESTADO, CONFIRMAR SI SE CONCRETÓ EL CIERRE E IDENTIFICAR OPORTUNIDADES DE MEJORA.</t>
        </is>
      </c>
      <c r="M25" s="99" t="n">
        <v>50</v>
      </c>
      <c r="N25" s="98" t="n"/>
      <c r="O25" s="98" t="inlineStr">
        <is>
          <t>En seguimiento</t>
        </is>
      </c>
      <c r="P25" s="98">
        <f>A25&amp;"|"&amp;O25</f>
        <v/>
      </c>
      <c r="Q25" s="98" t="inlineStr">
        <is>
          <t>Alta</t>
        </is>
      </c>
      <c r="R25" s="98">
        <f>TRIM(tbl_BasePowerBI[[#This Row],[NOMBRE EJECUTIVO]])</f>
        <v/>
      </c>
      <c r="S25" s="98" t="inlineStr">
        <is>
          <t>AGOSTO</t>
        </is>
      </c>
      <c r="T25" s="100" t="n">
        <v>46247</v>
      </c>
      <c r="U25" s="100" t="n">
        <v>46254</v>
      </c>
      <c r="V25" s="158" t="n"/>
      <c r="W25" s="306" t="n">
        <v>0</v>
      </c>
      <c r="X25" s="86" t="n"/>
      <c r="Y25" s="86" t="n"/>
      <c r="Z25" s="86" t="n"/>
      <c r="AA25" s="86" t="n"/>
      <c r="AB25" s="86" t="n"/>
      <c r="AC25" s="86" t="n"/>
      <c r="AD25" s="86" t="n"/>
      <c r="AE25" s="86" t="n"/>
      <c r="AF25" s="86" t="n"/>
      <c r="AG25" s="86" t="n"/>
      <c r="AH25" s="86" t="n"/>
      <c r="AI25" s="86" t="n"/>
      <c r="AJ25" s="86" t="n">
        <v>25</v>
      </c>
      <c r="AK25" s="102" t="inlineStr">
        <is>
          <t>Sthefanie Botello</t>
        </is>
      </c>
      <c r="AN25" t="inlineStr">
        <is>
          <t>Salud</t>
        </is>
      </c>
    </row>
    <row r="26" ht="30" customFormat="1" customHeight="1" s="129">
      <c r="A26" s="102" t="inlineStr">
        <is>
          <t>N1</t>
        </is>
      </c>
      <c r="B26" s="103" t="inlineStr">
        <is>
          <t>Carolina Diaz</t>
        </is>
      </c>
      <c r="C26" s="104" t="inlineStr">
        <is>
          <t>PROSEGURO</t>
        </is>
      </c>
      <c r="D26" s="308" t="n">
        <v>0</v>
      </c>
      <c r="E26" s="102" t="inlineStr">
        <is>
          <t>DESARROLO DE PROPUESTA DIGITAL</t>
        </is>
      </c>
      <c r="F26" s="102" t="n"/>
      <c r="G26" s="102" t="n"/>
      <c r="H26" s="103" t="inlineStr">
        <is>
          <t>GENERAR PROPUESTA COMERCIAL</t>
        </is>
      </c>
      <c r="I26" s="105" t="n"/>
      <c r="J26" s="102" t="n"/>
      <c r="K26" s="105" t="n"/>
      <c r="L26" s="102" t="n"/>
      <c r="M26" s="105" t="n"/>
      <c r="N26" s="102" t="n"/>
      <c r="O26" s="102" t="inlineStr">
        <is>
          <t>Por Mejorar</t>
        </is>
      </c>
      <c r="P26" s="102">
        <f>A26&amp;"|"&amp;O26</f>
        <v/>
      </c>
      <c r="Q26" s="102" t="inlineStr">
        <is>
          <t>Alta</t>
        </is>
      </c>
      <c r="R26" s="102">
        <f>TRIM(tbl_BasePowerBI[[#This Row],[NOMBRE EJECUTIVO]])</f>
        <v/>
      </c>
      <c r="S26" s="102" t="n"/>
      <c r="T26" s="106" t="n"/>
      <c r="U26" s="106" t="n"/>
      <c r="V26" s="160" t="n"/>
      <c r="W26" s="307" t="n">
        <v>0</v>
      </c>
      <c r="X26" s="86" t="n"/>
      <c r="Y26" s="86" t="n"/>
      <c r="Z26" s="86" t="n"/>
      <c r="AA26" s="86" t="n"/>
      <c r="AB26" s="86" t="n"/>
      <c r="AC26" s="86" t="n"/>
      <c r="AD26" s="86" t="n"/>
      <c r="AE26" s="86" t="n"/>
      <c r="AF26" s="86" t="n"/>
      <c r="AG26" s="86" t="n"/>
      <c r="AH26" s="86" t="n"/>
      <c r="AI26" s="86" t="n"/>
      <c r="AJ26" s="86" t="n">
        <v>26</v>
      </c>
      <c r="AK26" s="102" t="n"/>
      <c r="AN26" t="inlineStr">
        <is>
          <t>Seguros</t>
        </is>
      </c>
    </row>
    <row r="27" ht="30" customFormat="1" customHeight="1" s="129">
      <c r="A27" s="102" t="inlineStr">
        <is>
          <t>N1</t>
        </is>
      </c>
      <c r="B27" s="103" t="inlineStr">
        <is>
          <t>Carolina Diaz</t>
        </is>
      </c>
      <c r="C27" s="104" t="inlineStr">
        <is>
          <t>KELLOGS</t>
        </is>
      </c>
      <c r="D27" s="308" t="n">
        <v>0</v>
      </c>
      <c r="E27" s="102" t="inlineStr">
        <is>
          <t>DESARROLO DE PROPUESTA DIGITAL</t>
        </is>
      </c>
      <c r="F27" s="102" t="n"/>
      <c r="G27" s="102" t="n"/>
      <c r="H27" s="103" t="inlineStr">
        <is>
          <t>GENERAR PROPUESTA COMERCIAL</t>
        </is>
      </c>
      <c r="I27" s="105" t="n"/>
      <c r="J27" s="102" t="n"/>
      <c r="K27" s="105" t="n"/>
      <c r="L27" s="102" t="n"/>
      <c r="M27" s="105" t="n"/>
      <c r="N27" s="102" t="n"/>
      <c r="O27" s="102" t="inlineStr">
        <is>
          <t>Por Mejorar</t>
        </is>
      </c>
      <c r="P27" s="102">
        <f>A27&amp;"|"&amp;O27</f>
        <v/>
      </c>
      <c r="Q27" s="102" t="inlineStr">
        <is>
          <t>Alta</t>
        </is>
      </c>
      <c r="R27" s="102">
        <f>TRIM(tbl_BasePowerBI[[#This Row],[NOMBRE EJECUTIVO]])</f>
        <v/>
      </c>
      <c r="S27" s="102" t="n"/>
      <c r="T27" s="106" t="n"/>
      <c r="U27" s="106" t="n"/>
      <c r="V27" s="160" t="n"/>
      <c r="W27" s="307" t="n">
        <v>0</v>
      </c>
      <c r="X27" s="86" t="n"/>
      <c r="Y27" s="86" t="n"/>
      <c r="Z27" s="86" t="n"/>
      <c r="AA27" s="86" t="n"/>
      <c r="AB27" s="86" t="n"/>
      <c r="AC27" s="86" t="n"/>
      <c r="AD27" s="86" t="n"/>
      <c r="AE27" s="86" t="n"/>
      <c r="AF27" s="86" t="n"/>
      <c r="AG27" s="86" t="n"/>
      <c r="AH27" s="86" t="n"/>
      <c r="AI27" s="86" t="n"/>
      <c r="AJ27" s="86" t="n">
        <v>27</v>
      </c>
      <c r="AK27" s="102" t="n"/>
      <c r="AN27" t="inlineStr">
        <is>
          <t>Consumo Masivo</t>
        </is>
      </c>
    </row>
    <row r="28" ht="30" customFormat="1" customHeight="1" s="129">
      <c r="A28" s="102" t="inlineStr">
        <is>
          <t>N1</t>
        </is>
      </c>
      <c r="B28" s="103" t="inlineStr">
        <is>
          <t>Carolina Diaz</t>
        </is>
      </c>
      <c r="C28" s="104" t="inlineStr">
        <is>
          <t>AJINOMOTO</t>
        </is>
      </c>
      <c r="D28" s="308" t="n">
        <v>0</v>
      </c>
      <c r="E28" s="102" t="inlineStr">
        <is>
          <t>DESARROLO DE PROPUESTA DIGITAL</t>
        </is>
      </c>
      <c r="F28" s="102" t="n"/>
      <c r="G28" s="102" t="n"/>
      <c r="H28" s="103" t="inlineStr">
        <is>
          <t>GENERAR PROPUESTA COMERCIAL</t>
        </is>
      </c>
      <c r="I28" s="105" t="n"/>
      <c r="J28" s="102" t="n"/>
      <c r="K28" s="105" t="n"/>
      <c r="L28" s="102" t="n"/>
      <c r="M28" s="105" t="n"/>
      <c r="N28" s="102" t="n"/>
      <c r="O28" s="102" t="inlineStr">
        <is>
          <t>Por Mejorar</t>
        </is>
      </c>
      <c r="P28" s="102">
        <f>A28&amp;"|"&amp;O28</f>
        <v/>
      </c>
      <c r="Q28" s="102" t="inlineStr">
        <is>
          <t>Alta</t>
        </is>
      </c>
      <c r="R28" s="102">
        <f>TRIM(tbl_BasePowerBI[[#This Row],[NOMBRE EJECUTIVO]])</f>
        <v/>
      </c>
      <c r="S28" s="102" t="n"/>
      <c r="T28" s="106" t="n"/>
      <c r="U28" s="106" t="n"/>
      <c r="V28" s="160" t="n"/>
      <c r="W28" s="307" t="n">
        <v>0</v>
      </c>
      <c r="X28" s="86" t="n"/>
      <c r="Y28" s="86" t="n"/>
      <c r="Z28" s="86" t="n"/>
      <c r="AA28" s="86" t="n"/>
      <c r="AB28" s="86" t="n"/>
      <c r="AC28" s="86" t="n"/>
      <c r="AD28" s="86" t="n"/>
      <c r="AE28" s="86" t="n"/>
      <c r="AF28" s="86" t="n"/>
      <c r="AG28" s="86" t="n"/>
      <c r="AH28" s="86" t="n"/>
      <c r="AI28" s="86" t="n"/>
      <c r="AJ28" s="86" t="n">
        <v>28</v>
      </c>
      <c r="AK28" s="102" t="n"/>
      <c r="AN28" t="inlineStr">
        <is>
          <t>Consumo Masivo</t>
        </is>
      </c>
    </row>
    <row r="29" ht="30" customFormat="1" customHeight="1" s="129">
      <c r="A29" s="102" t="inlineStr">
        <is>
          <t>N1</t>
        </is>
      </c>
      <c r="B29" s="103" t="inlineStr">
        <is>
          <t>Diana Contreras Rodriguez</t>
        </is>
      </c>
      <c r="C29" s="104" t="inlineStr">
        <is>
          <t>KNORR</t>
        </is>
      </c>
      <c r="D29" s="308" t="n">
        <v>0</v>
      </c>
      <c r="E29" s="102" t="inlineStr">
        <is>
          <t>DESARROLO DE PROPUESTA DIGITAL</t>
        </is>
      </c>
      <c r="F29" s="102" t="n"/>
      <c r="G29" s="102" t="n"/>
      <c r="H29" s="103" t="inlineStr">
        <is>
          <t>GENERAR PROPUESTA COMERCIAL</t>
        </is>
      </c>
      <c r="I29" s="105" t="n"/>
      <c r="J29" s="102" t="n"/>
      <c r="K29" s="105" t="n"/>
      <c r="L29" s="102" t="n"/>
      <c r="M29" s="105" t="n"/>
      <c r="N29" s="102" t="n"/>
      <c r="O29" s="102" t="inlineStr">
        <is>
          <t>Por Mejorar</t>
        </is>
      </c>
      <c r="P29" s="102">
        <f>A29&amp;"|"&amp;O29</f>
        <v/>
      </c>
      <c r="Q29" s="102" t="inlineStr">
        <is>
          <t>Alta</t>
        </is>
      </c>
      <c r="R29" s="102">
        <f>TRIM(tbl_BasePowerBI[[#This Row],[NOMBRE EJECUTIVO]])</f>
        <v/>
      </c>
      <c r="S29" s="102" t="n"/>
      <c r="T29" s="106" t="n"/>
      <c r="U29" s="106" t="n"/>
      <c r="V29" s="160" t="n"/>
      <c r="W29" s="307" t="n">
        <v>0</v>
      </c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>
        <v>29</v>
      </c>
      <c r="AK29" s="102" t="n"/>
      <c r="AN29" t="inlineStr">
        <is>
          <t>Consumo Masivo</t>
        </is>
      </c>
    </row>
    <row r="30" ht="30" customFormat="1" customHeight="1" s="129">
      <c r="A30" s="102" t="inlineStr">
        <is>
          <t>N1</t>
        </is>
      </c>
      <c r="B30" s="103" t="inlineStr">
        <is>
          <t>Carolina Diaz</t>
        </is>
      </c>
      <c r="C30" s="104" t="inlineStr">
        <is>
          <t>SUPERMERCADO MAKRO</t>
        </is>
      </c>
      <c r="D30" s="308" t="n">
        <v>0</v>
      </c>
      <c r="E30" s="102" t="inlineStr">
        <is>
          <t>DESARROLO DE PROPUESTA DIGITAL</t>
        </is>
      </c>
      <c r="F30" s="102" t="n"/>
      <c r="G30" s="102" t="n"/>
      <c r="H30" s="103" t="inlineStr">
        <is>
          <t>GENERAR PROPUESTA COMERCIAL</t>
        </is>
      </c>
      <c r="I30" s="105" t="n"/>
      <c r="J30" s="102" t="n"/>
      <c r="K30" s="105" t="n"/>
      <c r="L30" s="102" t="n"/>
      <c r="M30" s="105" t="n"/>
      <c r="N30" s="102" t="n"/>
      <c r="O30" s="102" t="inlineStr">
        <is>
          <t>Por Mejorar</t>
        </is>
      </c>
      <c r="P30" s="102">
        <f>A30&amp;"|"&amp;O30</f>
        <v/>
      </c>
      <c r="Q30" s="102" t="inlineStr">
        <is>
          <t>Alta</t>
        </is>
      </c>
      <c r="R30" s="102">
        <f>TRIM(tbl_BasePowerBI[[#This Row],[NOMBRE EJECUTIVO]])</f>
        <v/>
      </c>
      <c r="S30" s="102" t="n"/>
      <c r="T30" s="106" t="n"/>
      <c r="U30" s="106" t="n"/>
      <c r="V30" s="160" t="n"/>
      <c r="W30" s="307" t="n">
        <v>0</v>
      </c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>
        <v>30</v>
      </c>
      <c r="AK30" s="102" t="n"/>
      <c r="AN30" t="inlineStr">
        <is>
          <t>Consumo Masivo</t>
        </is>
      </c>
    </row>
    <row r="31" ht="30" customFormat="1" customHeight="1" s="129">
      <c r="A31" s="98" t="inlineStr">
        <is>
          <t>N1</t>
        </is>
      </c>
      <c r="B31" s="101" t="inlineStr">
        <is>
          <t>Andrea Morales</t>
        </is>
      </c>
      <c r="C31" s="107" t="inlineStr">
        <is>
          <t>CASA LUKER</t>
        </is>
      </c>
      <c r="D31" s="309" t="n">
        <v>28500000</v>
      </c>
      <c r="E31" s="98" t="inlineStr">
        <is>
          <t>DESARROLO DE PROPUESTA DIGITAL</t>
        </is>
      </c>
      <c r="F31" s="98" t="n"/>
      <c r="G31" s="98" t="n"/>
      <c r="H31" s="108" t="inlineStr">
        <is>
          <t>Entregar la propuesta digital y su valorización al ejecutivo correspondiente.</t>
        </is>
      </c>
      <c r="I31" s="105" t="n">
        <v>100</v>
      </c>
      <c r="J31" s="108" t="inlineStr">
        <is>
          <t>Realizar seguimiento a la propuesta para conocer su estado, confirmar si se concretó el cierre e identificar oportunidades de mejora.</t>
        </is>
      </c>
      <c r="K31" s="99" t="n">
        <v>50</v>
      </c>
      <c r="L31" s="98" t="n"/>
      <c r="M31" s="99" t="n">
        <v>50</v>
      </c>
      <c r="N31" s="98" t="n"/>
      <c r="O31" s="109" t="inlineStr">
        <is>
          <t>En seguimiento</t>
        </is>
      </c>
      <c r="P31" s="98">
        <f>A31&amp;"|"&amp;O31</f>
        <v/>
      </c>
      <c r="Q31" s="98" t="inlineStr">
        <is>
          <t>Alta</t>
        </is>
      </c>
      <c r="R31" s="98">
        <f>TRIM(tbl_BasePowerBI[[#This Row],[NOMBRE EJECUTIVO]])</f>
        <v/>
      </c>
      <c r="S31" s="109" t="inlineStr">
        <is>
          <t>JULIO</t>
        </is>
      </c>
      <c r="T31" s="106" t="n">
        <v>46211</v>
      </c>
      <c r="U31" s="106" t="n">
        <v>46211</v>
      </c>
      <c r="V31" s="160" t="n"/>
      <c r="W31" s="310" t="n">
        <v>28500000</v>
      </c>
      <c r="X31" s="86" t="n"/>
      <c r="Y31" s="86" t="n"/>
      <c r="Z31" s="86" t="n"/>
      <c r="AA31" s="86" t="n"/>
      <c r="AB31" s="86" t="n"/>
      <c r="AC31" s="86" t="n"/>
      <c r="AD31" s="86" t="n"/>
      <c r="AE31" s="86" t="n"/>
      <c r="AF31" s="86" t="n"/>
      <c r="AG31" s="86" t="n"/>
      <c r="AH31" s="86" t="n"/>
      <c r="AI31" s="86" t="n"/>
      <c r="AJ31" s="86" t="n">
        <v>31</v>
      </c>
      <c r="AK31" s="102" t="inlineStr">
        <is>
          <t>Jonathan Velasquez</t>
        </is>
      </c>
      <c r="AN31" t="inlineStr">
        <is>
          <t>Consumo Masivo</t>
        </is>
      </c>
    </row>
    <row r="32" ht="30" customFormat="1" customHeight="1" s="130">
      <c r="A32" s="109" t="inlineStr">
        <is>
          <t>N1</t>
        </is>
      </c>
      <c r="B32" s="109" t="inlineStr">
        <is>
          <t xml:space="preserve">Andrea Morales </t>
        </is>
      </c>
      <c r="C32" s="109" t="inlineStr">
        <is>
          <t>ALQUERIA</t>
        </is>
      </c>
      <c r="D32" s="311" t="n">
        <v>34000000</v>
      </c>
      <c r="E32" s="108" t="inlineStr">
        <is>
          <t>FRANQUICIA - LA MIL OFICIOS Y SE LO EXPLICO CON EXPERTOS</t>
        </is>
      </c>
      <c r="F32" s="109" t="n"/>
      <c r="G32" s="109" t="n"/>
      <c r="H32" s="108" t="inlineStr">
        <is>
          <t>Entregar la propuesta digital y su valorización al ejecutivo correspondiente.</t>
        </is>
      </c>
      <c r="I32" s="110" t="n">
        <v>100</v>
      </c>
      <c r="J32" s="108" t="inlineStr">
        <is>
          <t>Realizar seguimiento a la propuesta para conocer su estado, confirmar si se concretó el cierre e identificar oportunidades de mejora.</t>
        </is>
      </c>
      <c r="K32" s="111" t="n">
        <v>50</v>
      </c>
      <c r="L32" s="109" t="n"/>
      <c r="M32" s="111" t="n">
        <v>50</v>
      </c>
      <c r="N32" s="109" t="n"/>
      <c r="O32" s="109" t="inlineStr">
        <is>
          <t>En seguimiento</t>
        </is>
      </c>
      <c r="P32" s="109">
        <f>A32&amp;"|"&amp;O32</f>
        <v/>
      </c>
      <c r="Q32" s="109" t="inlineStr">
        <is>
          <t>Media</t>
        </is>
      </c>
      <c r="R32" s="109">
        <f>TRIM(tbl_BasePowerBI[[#This Row],[NOMBRE EJECUTIVO]])</f>
        <v/>
      </c>
      <c r="S32" s="109" t="inlineStr">
        <is>
          <t>JULIO</t>
        </is>
      </c>
      <c r="T32" s="112" t="n">
        <v>46238</v>
      </c>
      <c r="U32" s="112" t="n">
        <v>46239</v>
      </c>
      <c r="V32" s="161" t="n"/>
      <c r="W32" s="312" t="n">
        <v>34000000</v>
      </c>
      <c r="X32" s="86" t="n"/>
      <c r="Y32" s="86" t="n"/>
      <c r="Z32" s="86" t="n"/>
      <c r="AA32" s="86" t="n"/>
      <c r="AB32" s="86" t="n"/>
      <c r="AC32" s="86" t="n"/>
      <c r="AD32" s="86" t="n"/>
      <c r="AE32" s="86" t="n"/>
      <c r="AF32" s="86" t="n"/>
      <c r="AG32" s="86" t="n"/>
      <c r="AH32" s="86" t="n"/>
      <c r="AI32" s="86" t="n"/>
      <c r="AJ32" s="86" t="n">
        <v>32</v>
      </c>
      <c r="AK32" s="102" t="inlineStr">
        <is>
          <t>Jonathan Velasquez</t>
        </is>
      </c>
      <c r="AN32" t="inlineStr">
        <is>
          <t>Consumo Masivo</t>
        </is>
      </c>
    </row>
    <row r="33" ht="30" customFormat="1" customHeight="1" s="129">
      <c r="A33" s="102" t="inlineStr">
        <is>
          <t>N1</t>
        </is>
      </c>
      <c r="B33" s="103" t="inlineStr">
        <is>
          <t>Andrea Morales</t>
        </is>
      </c>
      <c r="C33" s="104" t="inlineStr">
        <is>
          <t>VOLVO</t>
        </is>
      </c>
      <c r="D33" s="308" t="n">
        <v>0</v>
      </c>
      <c r="E33" s="102" t="inlineStr">
        <is>
          <t>DESARROLO DE PROPUESTA DIGITAL</t>
        </is>
      </c>
      <c r="F33" s="102" t="n"/>
      <c r="G33" s="102" t="n"/>
      <c r="H33" s="103" t="inlineStr">
        <is>
          <t>GENERAR PROPUESTA COMERCIAL</t>
        </is>
      </c>
      <c r="I33" s="105" t="n"/>
      <c r="J33" s="102" t="n"/>
      <c r="K33" s="105" t="n"/>
      <c r="L33" s="102" t="n"/>
      <c r="M33" s="105" t="n"/>
      <c r="N33" s="102" t="n"/>
      <c r="O33" s="102" t="inlineStr">
        <is>
          <t>Por Mejorar</t>
        </is>
      </c>
      <c r="P33" s="102">
        <f>A33&amp;"|"&amp;O33</f>
        <v/>
      </c>
      <c r="Q33" s="102" t="inlineStr">
        <is>
          <t>Alta</t>
        </is>
      </c>
      <c r="R33" s="102">
        <f>TRIM(tbl_BasePowerBI[[#This Row],[NOMBRE EJECUTIVO]])</f>
        <v/>
      </c>
      <c r="S33" s="102" t="n"/>
      <c r="T33" s="106" t="n"/>
      <c r="U33" s="106" t="n"/>
      <c r="V33" s="160" t="n"/>
      <c r="W33" s="307" t="n">
        <v>0</v>
      </c>
      <c r="X33" s="86" t="n"/>
      <c r="Y33" s="86" t="n"/>
      <c r="Z33" s="86" t="n"/>
      <c r="AA33" s="86" t="n"/>
      <c r="AB33" s="86" t="n"/>
      <c r="AC33" s="86" t="n"/>
      <c r="AD33" s="86" t="n"/>
      <c r="AE33" s="86" t="n"/>
      <c r="AF33" s="86" t="n"/>
      <c r="AG33" s="86" t="n"/>
      <c r="AH33" s="86" t="n"/>
      <c r="AI33" s="86" t="n"/>
      <c r="AJ33" s="86" t="n">
        <v>33</v>
      </c>
      <c r="AK33" s="102" t="n"/>
      <c r="AL33" s="126" t="n"/>
      <c r="AN33" t="inlineStr">
        <is>
          <t>Automotriz</t>
        </is>
      </c>
    </row>
    <row r="34" ht="30" customFormat="1" customHeight="1" s="129">
      <c r="A34" s="102" t="inlineStr">
        <is>
          <t>N1</t>
        </is>
      </c>
      <c r="B34" s="103" t="inlineStr">
        <is>
          <t>Andrea Morales</t>
        </is>
      </c>
      <c r="C34" s="104" t="inlineStr">
        <is>
          <t>CAJA SOCIAL</t>
        </is>
      </c>
      <c r="D34" s="308" t="n">
        <v>0</v>
      </c>
      <c r="E34" s="102" t="inlineStr">
        <is>
          <t>DESARROLO DE PROPUESTA DIGITAL</t>
        </is>
      </c>
      <c r="F34" s="102" t="n"/>
      <c r="G34" s="102" t="n"/>
      <c r="H34" s="103" t="inlineStr">
        <is>
          <t>GENERAR PROPUESTA COMERCIAL</t>
        </is>
      </c>
      <c r="I34" s="105" t="n"/>
      <c r="J34" s="102" t="n"/>
      <c r="K34" s="105" t="n"/>
      <c r="L34" s="102" t="n"/>
      <c r="M34" s="105" t="n"/>
      <c r="N34" s="102" t="n"/>
      <c r="O34" s="102" t="inlineStr">
        <is>
          <t>Por Mejorar</t>
        </is>
      </c>
      <c r="P34" s="102">
        <f>A34&amp;"|"&amp;O34</f>
        <v/>
      </c>
      <c r="Q34" s="102" t="inlineStr">
        <is>
          <t>Alta</t>
        </is>
      </c>
      <c r="R34" s="102">
        <f>TRIM(tbl_BasePowerBI[[#This Row],[NOMBRE EJECUTIVO]])</f>
        <v/>
      </c>
      <c r="S34" s="102" t="n"/>
      <c r="T34" s="106" t="n"/>
      <c r="U34" s="106" t="n"/>
      <c r="V34" s="160" t="n"/>
      <c r="W34" s="307" t="n">
        <v>0</v>
      </c>
      <c r="X34" s="86" t="n"/>
      <c r="Y34" s="86" t="n"/>
      <c r="Z34" s="86" t="n"/>
      <c r="AA34" s="86" t="n"/>
      <c r="AB34" s="86" t="n"/>
      <c r="AC34" s="86" t="n"/>
      <c r="AD34" s="86" t="n"/>
      <c r="AE34" s="86" t="n"/>
      <c r="AF34" s="86" t="n"/>
      <c r="AG34" s="86" t="n"/>
      <c r="AH34" s="86" t="n"/>
      <c r="AI34" s="86" t="n"/>
      <c r="AJ34" s="86" t="n">
        <v>34</v>
      </c>
      <c r="AK34" s="102" t="n"/>
      <c r="AN34" t="inlineStr">
        <is>
          <t>Banca</t>
        </is>
      </c>
    </row>
    <row r="35" ht="30" customFormat="1" customHeight="1" s="129">
      <c r="A35" s="102" t="inlineStr">
        <is>
          <t>N1</t>
        </is>
      </c>
      <c r="B35" s="103" t="inlineStr">
        <is>
          <t>Natalia Zambrano</t>
        </is>
      </c>
      <c r="C35" s="104" t="inlineStr">
        <is>
          <t>RAMO</t>
        </is>
      </c>
      <c r="D35" s="308" t="n">
        <v>0</v>
      </c>
      <c r="E35" s="102" t="inlineStr">
        <is>
          <t>DESARROLO DE PROPUESTA DIGITAL</t>
        </is>
      </c>
      <c r="F35" s="102" t="n"/>
      <c r="G35" s="102" t="n"/>
      <c r="H35" s="103" t="inlineStr">
        <is>
          <t>GENERAR PROPUESTA COMERCIAL</t>
        </is>
      </c>
      <c r="I35" s="105" t="n"/>
      <c r="J35" s="102" t="n"/>
      <c r="K35" s="105" t="n"/>
      <c r="L35" s="102" t="n"/>
      <c r="M35" s="105" t="n"/>
      <c r="N35" s="102" t="n"/>
      <c r="O35" s="102" t="inlineStr">
        <is>
          <t>Por Mejorar</t>
        </is>
      </c>
      <c r="P35" s="102">
        <f>A35&amp;"|"&amp;O35</f>
        <v/>
      </c>
      <c r="Q35" s="102" t="inlineStr">
        <is>
          <t>Alta</t>
        </is>
      </c>
      <c r="R35" s="102">
        <f>TRIM(tbl_BasePowerBI[[#This Row],[NOMBRE EJECUTIVO]])</f>
        <v/>
      </c>
      <c r="S35" s="102" t="n"/>
      <c r="T35" s="106" t="n"/>
      <c r="U35" s="106" t="n"/>
      <c r="V35" s="160" t="n"/>
      <c r="W35" s="307" t="n">
        <v>0</v>
      </c>
      <c r="X35" s="86" t="n"/>
      <c r="Y35" s="86" t="n"/>
      <c r="Z35" s="86" t="n"/>
      <c r="AA35" s="86" t="n"/>
      <c r="AB35" s="86" t="n"/>
      <c r="AC35" s="86" t="n"/>
      <c r="AD35" s="86" t="n"/>
      <c r="AE35" s="86" t="n"/>
      <c r="AF35" s="86" t="n"/>
      <c r="AG35" s="86" t="n"/>
      <c r="AH35" s="86" t="n"/>
      <c r="AI35" s="86" t="n"/>
      <c r="AJ35" s="86" t="n">
        <v>35</v>
      </c>
      <c r="AK35" s="102" t="n"/>
      <c r="AL35" s="126" t="n"/>
      <c r="AN35" t="inlineStr">
        <is>
          <t>Consumo Masivo</t>
        </is>
      </c>
    </row>
    <row r="36" ht="30" customFormat="1" customHeight="1" s="129">
      <c r="A36" s="102" t="inlineStr">
        <is>
          <t>N1</t>
        </is>
      </c>
      <c r="B36" s="103" t="inlineStr">
        <is>
          <t>Natalia Zambrano</t>
        </is>
      </c>
      <c r="C36" s="104" t="inlineStr">
        <is>
          <t>SPOTIFY</t>
        </is>
      </c>
      <c r="D36" s="308" t="n">
        <v>0</v>
      </c>
      <c r="E36" s="102" t="inlineStr">
        <is>
          <t>DESARROLO DE PROPUESTA DIGITAL</t>
        </is>
      </c>
      <c r="F36" s="102" t="n"/>
      <c r="G36" s="102" t="n"/>
      <c r="H36" s="103" t="inlineStr">
        <is>
          <t>GENERAR PROPUESTA COMERCIAL</t>
        </is>
      </c>
      <c r="I36" s="105" t="n"/>
      <c r="J36" s="102" t="n"/>
      <c r="K36" s="105" t="n"/>
      <c r="L36" s="102" t="n"/>
      <c r="M36" s="105" t="n"/>
      <c r="N36" s="102" t="n"/>
      <c r="O36" s="102" t="inlineStr">
        <is>
          <t>Por Mejorar</t>
        </is>
      </c>
      <c r="P36" s="102">
        <f>A36&amp;"|"&amp;O36</f>
        <v/>
      </c>
      <c r="Q36" s="102" t="inlineStr">
        <is>
          <t>Alta</t>
        </is>
      </c>
      <c r="R36" s="102">
        <f>TRIM(tbl_BasePowerBI[[#This Row],[NOMBRE EJECUTIVO]])</f>
        <v/>
      </c>
      <c r="S36" s="102" t="n"/>
      <c r="T36" s="106" t="n"/>
      <c r="U36" s="106" t="n"/>
      <c r="V36" s="160" t="n"/>
      <c r="W36" s="307" t="n">
        <v>0</v>
      </c>
      <c r="X36" s="86" t="n"/>
      <c r="Y36" s="86" t="n"/>
      <c r="Z36" s="86" t="n"/>
      <c r="AA36" s="86" t="n"/>
      <c r="AB36" s="86" t="n"/>
      <c r="AC36" s="86" t="n"/>
      <c r="AD36" s="86" t="n"/>
      <c r="AE36" s="86" t="n"/>
      <c r="AF36" s="86" t="n"/>
      <c r="AG36" s="86" t="n"/>
      <c r="AH36" s="86" t="n"/>
      <c r="AI36" s="86" t="n"/>
      <c r="AJ36" s="86" t="n">
        <v>36</v>
      </c>
      <c r="AK36" s="102" t="n"/>
      <c r="AL36" s="126" t="n"/>
      <c r="AN36" t="inlineStr">
        <is>
          <t>Tecnología</t>
        </is>
      </c>
    </row>
    <row r="37" ht="30" customFormat="1" customHeight="1" s="129">
      <c r="A37" s="113" t="inlineStr">
        <is>
          <t>N1</t>
        </is>
      </c>
      <c r="B37" s="113" t="inlineStr">
        <is>
          <t>Felipe Guillen</t>
        </is>
      </c>
      <c r="C37" s="113" t="inlineStr">
        <is>
          <t>DON JULIO</t>
        </is>
      </c>
      <c r="D37" s="313" t="n">
        <v>15000000</v>
      </c>
      <c r="E37" s="113" t="inlineStr">
        <is>
          <t>Ruta del gol</t>
        </is>
      </c>
      <c r="F37" s="113" t="n"/>
      <c r="G37" s="113" t="n"/>
      <c r="H37" s="113" t="inlineStr">
        <is>
          <t>se paso la propuesta ruta del gol</t>
        </is>
      </c>
      <c r="I37" s="114" t="n">
        <v>100</v>
      </c>
      <c r="J37" s="113" t="inlineStr">
        <is>
          <t>acaptaron la propuesta</t>
        </is>
      </c>
      <c r="K37" s="114" t="n">
        <v>100</v>
      </c>
      <c r="L37" s="113" t="inlineStr">
        <is>
          <t>La propuesta fue aprobada por el cliente. Actualmente nos encontramos a la espera de su ejecución.</t>
        </is>
      </c>
      <c r="M37" s="114" t="n">
        <v>100</v>
      </c>
      <c r="N37" s="113" t="n"/>
      <c r="O37" s="113" t="inlineStr">
        <is>
          <t>Cerrada</t>
        </is>
      </c>
      <c r="P37" s="113">
        <f>A37&amp;"|"&amp;O37</f>
        <v/>
      </c>
      <c r="Q37" s="113" t="n"/>
      <c r="R37" s="113">
        <f>TRIM(tbl_BasePowerBI[[#This Row],[NOMBRE EJECUTIVO]])</f>
        <v/>
      </c>
      <c r="S37" s="113" t="inlineStr">
        <is>
          <t>JUNIO</t>
        </is>
      </c>
      <c r="T37" s="115" t="n">
        <v>46198</v>
      </c>
      <c r="U37" s="115" t="n">
        <v>46198</v>
      </c>
      <c r="V37" s="162" t="inlineStr">
        <is>
          <t>PRODUCTO DIGITAL-LA RUTA DEL GOL.pptx</t>
        </is>
      </c>
      <c r="W37" s="314" t="n">
        <v>32000000</v>
      </c>
      <c r="X37" s="86" t="n"/>
      <c r="Y37" s="86" t="n"/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6" t="n"/>
      <c r="AJ37" s="86" t="n">
        <v>37</v>
      </c>
      <c r="AK37" s="102" t="inlineStr">
        <is>
          <t>Sthefanie Botello</t>
        </is>
      </c>
      <c r="AN37" t="inlineStr">
        <is>
          <t>Consumo Masivo</t>
        </is>
      </c>
    </row>
    <row r="38" ht="30" customFormat="1" customHeight="1" s="129">
      <c r="A38" s="98" t="inlineStr">
        <is>
          <t>N1</t>
        </is>
      </c>
      <c r="B38" s="98" t="inlineStr">
        <is>
          <t>Andrea Morales</t>
        </is>
      </c>
      <c r="C38" s="98" t="inlineStr">
        <is>
          <t>ARTURO CALLE</t>
        </is>
      </c>
      <c r="D38" s="305" t="n">
        <v>50000000</v>
      </c>
      <c r="E38" s="101" t="inlineStr">
        <is>
          <t>DESARROLO DE PROPUESTA DIGITAL - FRANQUICIA PLAZA ALVIRA</t>
        </is>
      </c>
      <c r="F38" s="98" t="n"/>
      <c r="G38" s="98" t="n"/>
      <c r="H38" s="101" t="inlineStr">
        <is>
          <t>Entregar la propuesta digital y su valorización al ejecutivo correspondiente.</t>
        </is>
      </c>
      <c r="I38" s="99" t="n">
        <v>100</v>
      </c>
      <c r="J38" s="98" t="inlineStr">
        <is>
          <t xml:space="preserve">no aprobado por el cliente </t>
        </is>
      </c>
      <c r="K38" s="99" t="n">
        <v>100</v>
      </c>
      <c r="L38" s="98" t="inlineStr">
        <is>
          <t xml:space="preserve">en seguimiento </t>
        </is>
      </c>
      <c r="M38" s="99" t="n">
        <v>50</v>
      </c>
      <c r="N38" s="98" t="n"/>
      <c r="O38" s="98" t="inlineStr">
        <is>
          <t>En seguimiento</t>
        </is>
      </c>
      <c r="P38" s="98">
        <f>A38&amp;"|"&amp;O38</f>
        <v/>
      </c>
      <c r="Q38" s="98" t="inlineStr">
        <is>
          <t>Alta</t>
        </is>
      </c>
      <c r="R38" s="98">
        <f>TRIM(tbl_BasePowerBI[[#This Row],[NOMBRE EJECUTIVO]])</f>
        <v/>
      </c>
      <c r="S38" s="98" t="inlineStr">
        <is>
          <t>JULIO</t>
        </is>
      </c>
      <c r="T38" s="100" t="n">
        <v>46205</v>
      </c>
      <c r="U38" s="106" t="n">
        <v>46205</v>
      </c>
      <c r="V38" s="157" t="inlineStr">
        <is>
          <t>EL TOUR DEL ESTILO.pptx</t>
        </is>
      </c>
      <c r="W38" s="307" t="n">
        <v>76000000</v>
      </c>
      <c r="X38" s="86" t="n"/>
      <c r="Y38" s="86" t="n"/>
      <c r="Z38" s="86" t="n"/>
      <c r="AA38" s="86" t="n"/>
      <c r="AB38" s="86" t="n"/>
      <c r="AC38" s="86" t="n"/>
      <c r="AD38" s="86" t="n"/>
      <c r="AE38" s="86" t="n"/>
      <c r="AF38" s="86" t="n"/>
      <c r="AG38" s="86" t="n"/>
      <c r="AH38" s="86" t="n"/>
      <c r="AI38" s="86" t="n"/>
      <c r="AJ38" s="86" t="n">
        <v>38</v>
      </c>
      <c r="AK38" s="102" t="inlineStr">
        <is>
          <t>Juan Pablo Godoy</t>
        </is>
      </c>
      <c r="AN38" t="inlineStr">
        <is>
          <t>Moda</t>
        </is>
      </c>
    </row>
    <row r="39" ht="30" customFormat="1" customHeight="1" s="129">
      <c r="A39" s="98" t="inlineStr">
        <is>
          <t>N1</t>
        </is>
      </c>
      <c r="B39" s="98" t="inlineStr">
        <is>
          <t>Carolina Diaz</t>
        </is>
      </c>
      <c r="C39" s="98" t="inlineStr">
        <is>
          <t>ADIDAS</t>
        </is>
      </c>
      <c r="D39" s="305" t="n">
        <v>35000000</v>
      </c>
      <c r="E39" s="101" t="inlineStr">
        <is>
          <t>DESARROLO DE PROPUESTA DIGITAL</t>
        </is>
      </c>
      <c r="F39" s="98" t="n"/>
      <c r="G39" s="98" t="n"/>
      <c r="H39" s="101" t="inlineStr">
        <is>
          <t>Entregar la propuesta digital y su valorización al ejecutivo correspondiente.</t>
        </is>
      </c>
      <c r="I39" s="99" t="n">
        <v>100</v>
      </c>
      <c r="J39" s="101" t="inlineStr">
        <is>
          <t>Realizar seguimiento a la propuesta para conocer su estado, confirmar si se concretó el cierre e identificar oportunidades de mejora.</t>
        </is>
      </c>
      <c r="K39" s="99" t="n">
        <v>100</v>
      </c>
      <c r="L39" s="98" t="n"/>
      <c r="M39" s="99" t="n"/>
      <c r="N39" s="98" t="n"/>
      <c r="O39" s="98" t="inlineStr">
        <is>
          <t>En seguimiento</t>
        </is>
      </c>
      <c r="P39" s="98">
        <f>A39&amp;"|"&amp;O39</f>
        <v/>
      </c>
      <c r="Q39" s="98" t="inlineStr">
        <is>
          <t>Media</t>
        </is>
      </c>
      <c r="R39" s="98">
        <f>TRIM(tbl_BasePowerBI[[#This Row],[NOMBRE EJECUTIVO]])</f>
        <v/>
      </c>
      <c r="S39" s="98" t="inlineStr">
        <is>
          <t>JULIO</t>
        </is>
      </c>
      <c r="T39" s="100" t="n">
        <v>46212</v>
      </c>
      <c r="U39" s="100" t="n">
        <v>46212</v>
      </c>
      <c r="V39" s="157" t="inlineStr">
        <is>
          <t>PROPUESTA ADIDAS.pptx</t>
        </is>
      </c>
      <c r="W39" s="306" t="n">
        <v>39000000</v>
      </c>
      <c r="X39" s="86" t="n"/>
      <c r="Y39" s="86" t="n"/>
      <c r="Z39" s="86" t="n"/>
      <c r="AA39" s="86" t="n"/>
      <c r="AB39" s="86" t="n"/>
      <c r="AC39" s="86" t="n"/>
      <c r="AD39" s="86" t="n"/>
      <c r="AE39" s="86" t="n"/>
      <c r="AF39" s="86" t="n"/>
      <c r="AG39" s="86" t="n"/>
      <c r="AH39" s="86" t="n"/>
      <c r="AI39" s="86" t="n"/>
      <c r="AJ39" s="86" t="n">
        <v>39</v>
      </c>
      <c r="AK39" s="102" t="inlineStr">
        <is>
          <t>Juan Pablo Godoy</t>
        </is>
      </c>
      <c r="AN39" t="inlineStr">
        <is>
          <t>Moda</t>
        </is>
      </c>
    </row>
    <row r="40" ht="30" customFormat="1" customHeight="1" s="129">
      <c r="A40" s="98" t="inlineStr">
        <is>
          <t>N1</t>
        </is>
      </c>
      <c r="B40" s="98" t="inlineStr">
        <is>
          <t>Carolina Diaz</t>
        </is>
      </c>
      <c r="C40" s="98" t="inlineStr">
        <is>
          <t>HONOR</t>
        </is>
      </c>
      <c r="D40" s="305" t="n">
        <v>40000000</v>
      </c>
      <c r="E40" s="101" t="inlineStr">
        <is>
          <t>DESARROLO DE PROPUESTA DIGITAL</t>
        </is>
      </c>
      <c r="F40" s="98" t="n"/>
      <c r="G40" s="98" t="n"/>
      <c r="H40" s="101" t="inlineStr">
        <is>
          <t>Entregar la propuesta digital y su valorización al ejecutivo correspondiente.</t>
        </is>
      </c>
      <c r="I40" s="99" t="n">
        <v>100</v>
      </c>
      <c r="J40" s="101" t="inlineStr">
        <is>
          <t>Realizar seguimiento a la propuesta para conocer su estado, confirmar si se concretó el cierre e identificar oportunidades de mejora.</t>
        </is>
      </c>
      <c r="K40" s="99" t="n">
        <v>100</v>
      </c>
      <c r="L40" s="98" t="inlineStr">
        <is>
          <t>no aprobada por el cliente</t>
        </is>
      </c>
      <c r="M40" s="99" t="n">
        <v>100</v>
      </c>
      <c r="N40" s="98" t="n"/>
      <c r="O40" s="98" t="inlineStr">
        <is>
          <t>no aprobada</t>
        </is>
      </c>
      <c r="P40" s="98">
        <f>A40&amp;"|"&amp;O40</f>
        <v/>
      </c>
      <c r="Q40" s="98" t="inlineStr">
        <is>
          <t>Media</t>
        </is>
      </c>
      <c r="R40" s="98">
        <f>TRIM(tbl_BasePowerBI[[#This Row],[NOMBRE EJECUTIVO]])</f>
        <v/>
      </c>
      <c r="S40" s="98" t="inlineStr">
        <is>
          <t>JULIO</t>
        </is>
      </c>
      <c r="T40" s="100" t="n">
        <v>46212</v>
      </c>
      <c r="U40" s="100" t="n">
        <v>46212</v>
      </c>
      <c r="V40" s="157" t="inlineStr">
        <is>
          <t>PROPUESTA COMERCIAL HONOR.pptx</t>
        </is>
      </c>
      <c r="W40" s="306" t="n">
        <v>39420000</v>
      </c>
      <c r="X40" s="86" t="n"/>
      <c r="Y40" s="86" t="n"/>
      <c r="Z40" s="86" t="n"/>
      <c r="AA40" s="86" t="n"/>
      <c r="AB40" s="86" t="n"/>
      <c r="AC40" s="86" t="n"/>
      <c r="AD40" s="86" t="n"/>
      <c r="AE40" s="86" t="n"/>
      <c r="AF40" s="86" t="n"/>
      <c r="AG40" s="86" t="n"/>
      <c r="AH40" s="86" t="n"/>
      <c r="AI40" s="86" t="n"/>
      <c r="AJ40" s="86" t="n">
        <v>40</v>
      </c>
      <c r="AK40" s="102" t="inlineStr">
        <is>
          <t>Juan Pablo Godoy</t>
        </is>
      </c>
      <c r="AN40" t="inlineStr">
        <is>
          <t>Tecnología</t>
        </is>
      </c>
    </row>
    <row r="41" ht="30" customFormat="1" customHeight="1" s="129">
      <c r="A41" s="98" t="inlineStr">
        <is>
          <t>N1</t>
        </is>
      </c>
      <c r="B41" s="98" t="inlineStr">
        <is>
          <t>Carolina Diaz</t>
        </is>
      </c>
      <c r="C41" s="98" t="inlineStr">
        <is>
          <t>NIKE</t>
        </is>
      </c>
      <c r="D41" s="305" t="n">
        <v>35000000</v>
      </c>
      <c r="E41" s="101" t="inlineStr">
        <is>
          <t>DESARROLO DE PROPUESTA DIGITAL</t>
        </is>
      </c>
      <c r="F41" s="98" t="n"/>
      <c r="G41" s="98" t="n"/>
      <c r="H41" s="101" t="inlineStr">
        <is>
          <t>Entregar la propuesta digital y su valorización al ejecutivo correspondiente.</t>
        </is>
      </c>
      <c r="I41" s="99" t="n">
        <v>100</v>
      </c>
      <c r="J41" s="101" t="inlineStr">
        <is>
          <t>Realizar seguimiento a la propuesta para conocer su estado, confirmar si se concretó el cierre e identificar oportunidades de mejora.</t>
        </is>
      </c>
      <c r="K41" s="99" t="n">
        <v>100</v>
      </c>
      <c r="L41" s="98" t="n"/>
      <c r="M41" s="99" t="n"/>
      <c r="N41" s="98" t="n"/>
      <c r="O41" s="98" t="inlineStr">
        <is>
          <t>En seguimiento</t>
        </is>
      </c>
      <c r="P41" s="98">
        <f>A41&amp;"|"&amp;O41</f>
        <v/>
      </c>
      <c r="Q41" s="98" t="inlineStr">
        <is>
          <t>Media</t>
        </is>
      </c>
      <c r="R41" s="98">
        <f>TRIM(tbl_BasePowerBI[[#This Row],[NOMBRE EJECUTIVO]])</f>
        <v/>
      </c>
      <c r="S41" s="98" t="inlineStr">
        <is>
          <t>JULIO</t>
        </is>
      </c>
      <c r="T41" s="100" t="n">
        <v>46213</v>
      </c>
      <c r="U41" s="100" t="n">
        <v>46213</v>
      </c>
      <c r="V41" s="157" t="inlineStr">
        <is>
          <t>PROPUESTA NIKE.pptx</t>
        </is>
      </c>
      <c r="W41" s="306" t="n">
        <v>39000000</v>
      </c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  <c r="AI41" s="86" t="n"/>
      <c r="AJ41" s="86" t="n">
        <v>41</v>
      </c>
      <c r="AK41" s="102" t="inlineStr">
        <is>
          <t>Juan Pablo Godoy</t>
        </is>
      </c>
      <c r="AN41" t="inlineStr">
        <is>
          <t>Moda</t>
        </is>
      </c>
    </row>
    <row r="42" ht="30" customFormat="1" customHeight="1" s="129">
      <c r="A42" s="98" t="inlineStr">
        <is>
          <t>N1</t>
        </is>
      </c>
      <c r="B42" s="98" t="inlineStr">
        <is>
          <t>Natalia Zambrano</t>
        </is>
      </c>
      <c r="C42" s="98" t="inlineStr">
        <is>
          <t>AMAZON</t>
        </is>
      </c>
      <c r="D42" s="305" t="n">
        <v>30000000</v>
      </c>
      <c r="E42" s="101" t="inlineStr">
        <is>
          <t>DESARROLO DE PROPUESTA DIGITAL - FRANQUICIA TECNOLOGIA</t>
        </is>
      </c>
      <c r="F42" s="98" t="n"/>
      <c r="G42" s="98" t="n"/>
      <c r="H42" s="101" t="inlineStr">
        <is>
          <t>Entregar la propuesta digital y su valorización al ejecutivo correspondiente.</t>
        </is>
      </c>
      <c r="I42" s="99" t="n">
        <v>100</v>
      </c>
      <c r="J42" s="101" t="inlineStr">
        <is>
          <t>Realizar seguimiento a la propuesta para conocer su estado, confirmar si se concretó el cierre e identificar oportunidades de mejora.</t>
        </is>
      </c>
      <c r="K42" s="99" t="n">
        <v>100</v>
      </c>
      <c r="L42" s="98" t="n"/>
      <c r="M42" s="99" t="n">
        <v>50</v>
      </c>
      <c r="N42" s="98" t="n"/>
      <c r="O42" s="98" t="inlineStr">
        <is>
          <t>En seguimiento</t>
        </is>
      </c>
      <c r="P42" s="98">
        <f>A42&amp;"|"&amp;O42</f>
        <v/>
      </c>
      <c r="Q42" s="98" t="inlineStr">
        <is>
          <t>Media</t>
        </is>
      </c>
      <c r="R42" s="98">
        <f>TRIM(tbl_BasePowerBI[[#This Row],[NOMBRE EJECUTIVO]])</f>
        <v/>
      </c>
      <c r="S42" s="98" t="inlineStr">
        <is>
          <t>JULIO</t>
        </is>
      </c>
      <c r="T42" s="100" t="n">
        <v>46213</v>
      </c>
      <c r="U42" s="106" t="n">
        <v>46213</v>
      </c>
      <c r="V42" s="157" t="inlineStr">
        <is>
          <t>PROPUESTA AMAZON ECOMMERCE.pptx</t>
        </is>
      </c>
      <c r="W42" s="307" t="n">
        <v>32600000</v>
      </c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  <c r="AI42" s="86" t="n"/>
      <c r="AJ42" s="86" t="n">
        <v>42</v>
      </c>
      <c r="AK42" s="102" t="inlineStr">
        <is>
          <t>Juan Pablo Godoy</t>
        </is>
      </c>
      <c r="AN42" t="inlineStr">
        <is>
          <t>Tecnología</t>
        </is>
      </c>
    </row>
    <row r="43" ht="30" customFormat="1" customHeight="1" s="129">
      <c r="A43" s="98" t="inlineStr">
        <is>
          <t>N2</t>
        </is>
      </c>
      <c r="B43" s="101" t="inlineStr">
        <is>
          <t>Camilo Prada</t>
        </is>
      </c>
      <c r="C43" s="98" t="inlineStr">
        <is>
          <t>COLFONDOS S.A. PENSIONES Y CESANTIAS</t>
        </is>
      </c>
      <c r="D43" s="308" t="inlineStr">
        <is>
          <t xml:space="preserve">$ 92.198.334,00 </t>
        </is>
      </c>
      <c r="E43" s="98" t="inlineStr">
        <is>
          <t xml:space="preserve">Tiene un decrecimiento en su participación del mercado de 91%.  Y dejarón de invertir en la radio. FRANQUICIA EN SE LO EXPLICO CON EXPERTOS </t>
        </is>
      </c>
      <c r="F43" s="98" t="n"/>
      <c r="G43" s="98" t="n"/>
      <c r="H43" s="101" t="inlineStr">
        <is>
          <t>GENERAR PROPUESTA COMERCIAL - FRANQUICIA SE LO EXPLICO CON EXPERTOS</t>
        </is>
      </c>
      <c r="I43" s="99" t="n">
        <v>100</v>
      </c>
      <c r="J43" s="98" t="inlineStr">
        <is>
          <t>Entregar la propuesta digital y su valorización al ejecutivo correspondiente.</t>
        </is>
      </c>
      <c r="K43" s="99" t="n">
        <v>100</v>
      </c>
      <c r="L43" s="98" t="inlineStr">
        <is>
          <t>Realizar seguimiento a la propuesta para conocer su estado, confirmar si se concretó el cierre e identificar oportunidades de mejora.</t>
        </is>
      </c>
      <c r="M43" s="99" t="n">
        <v>50</v>
      </c>
      <c r="N43" s="98" t="inlineStr">
        <is>
          <t>En seguimiento</t>
        </is>
      </c>
      <c r="O43" s="98" t="inlineStr">
        <is>
          <t>En seguimiento</t>
        </is>
      </c>
      <c r="P43" s="98">
        <f>A43&amp;"|"&amp;O43</f>
        <v/>
      </c>
      <c r="Q43" s="98" t="inlineStr">
        <is>
          <t>Media</t>
        </is>
      </c>
      <c r="R43" s="98">
        <f>TRIM(tbl_BasePowerBI[[#This Row],[NOMBRE EJECUTIVO]])</f>
        <v/>
      </c>
      <c r="S43" s="98" t="inlineStr">
        <is>
          <t>JUNIO</t>
        </is>
      </c>
      <c r="T43" s="100" t="n">
        <v>46177</v>
      </c>
      <c r="U43" s="106" t="n">
        <v>46196</v>
      </c>
      <c r="V43" s="157" t="inlineStr">
        <is>
          <t>PRODUCTO DIGITAL - COLFONDOS.pptx</t>
        </is>
      </c>
      <c r="W43" s="307" t="n">
        <v>30000000</v>
      </c>
      <c r="X43" s="86" t="n"/>
      <c r="Y43" s="86" t="n"/>
      <c r="Z43" s="86" t="inlineStr">
        <is>
          <t>ENERO</t>
        </is>
      </c>
      <c r="AA43" s="88" t="inlineStr">
        <is>
          <t>DIRECTOR 1</t>
        </is>
      </c>
      <c r="AB43" s="89" t="inlineStr">
        <is>
          <t>N1</t>
        </is>
      </c>
      <c r="AC43" s="89" t="inlineStr">
        <is>
          <t>N1</t>
        </is>
      </c>
      <c r="AD43" s="89" t="inlineStr">
        <is>
          <t>Por Mejorar</t>
        </is>
      </c>
      <c r="AE43" s="90" t="e">
        <v>#VALUE!</v>
      </c>
      <c r="AF43" s="89" t="inlineStr">
        <is>
          <t>Baja</t>
        </is>
      </c>
      <c r="AG43" s="89">
        <f>AC43&amp;"|"&amp;AD43</f>
        <v/>
      </c>
      <c r="AH43" s="86" t="n"/>
      <c r="AI43" s="86" t="n"/>
      <c r="AJ43" s="86" t="n">
        <v>43</v>
      </c>
      <c r="AK43" s="102" t="inlineStr">
        <is>
          <t>Sthefanie Botello</t>
        </is>
      </c>
      <c r="AN43" t="inlineStr">
        <is>
          <t>Banca</t>
        </is>
      </c>
    </row>
    <row r="44" ht="51" customFormat="1" customHeight="1" s="129">
      <c r="A44" s="98" t="inlineStr">
        <is>
          <t>N2</t>
        </is>
      </c>
      <c r="B44" s="101" t="inlineStr">
        <is>
          <t>Camilo Prada</t>
        </is>
      </c>
      <c r="C44" s="98" t="inlineStr">
        <is>
          <t>BIOCOMBUSTIBLES S.A.</t>
        </is>
      </c>
      <c r="D44" s="305" t="n">
        <v>42050587</v>
      </c>
      <c r="E44" s="98" t="inlineStr">
        <is>
          <t>Tiene un cremiento en su participación del mercado de 77%. Radio tiene un crecimiento del 25%. Pero Prisa Media pierde la participación frente a RCN y Radio Polis.</t>
        </is>
      </c>
      <c r="F44" s="98" t="n"/>
      <c r="G44" s="98" t="n"/>
      <c r="H44" s="101" t="inlineStr">
        <is>
          <t xml:space="preserve">GENERAR PROPUESTA COMERCIAL </t>
        </is>
      </c>
      <c r="I44" s="99" t="n">
        <v>100</v>
      </c>
      <c r="J44" s="98" t="inlineStr">
        <is>
          <t>Entregar la propuesta digital y su valorización al ejecutivo correspondiente.</t>
        </is>
      </c>
      <c r="K44" s="99" t="n">
        <v>100</v>
      </c>
      <c r="L44" s="98" t="inlineStr">
        <is>
          <t>Con base en la retroalimentación del cliente, se ajusta la propuesta para la campaña específica y se entrega la versión final para su validación.</t>
        </is>
      </c>
      <c r="M44" s="99" t="n">
        <v>100</v>
      </c>
      <c r="N44" s="98" t="n"/>
      <c r="O44" s="98" t="inlineStr">
        <is>
          <t>En seguimiento</t>
        </is>
      </c>
      <c r="P44" s="98">
        <f>A44&amp;"|"&amp;O44</f>
        <v/>
      </c>
      <c r="Q44" s="98" t="inlineStr">
        <is>
          <t>Media</t>
        </is>
      </c>
      <c r="R44" s="98">
        <f>TRIM(tbl_BasePowerBI[[#This Row],[NOMBRE EJECUTIVO]])</f>
        <v/>
      </c>
      <c r="S44" s="98" t="inlineStr">
        <is>
          <t>JUNIO</t>
        </is>
      </c>
      <c r="T44" s="100" t="n">
        <v>46196</v>
      </c>
      <c r="U44" s="100" t="n">
        <v>46206</v>
      </c>
      <c r="V44" s="157" t="inlineStr">
        <is>
          <t>Producto_Digital-EL MUNDIAL SE JUEGA CON BIOMAX.pptx</t>
        </is>
      </c>
      <c r="W44" s="306" t="n">
        <v>30000000</v>
      </c>
      <c r="X44" s="86" t="n"/>
      <c r="Y44" s="86" t="n"/>
      <c r="Z44" s="86" t="inlineStr">
        <is>
          <t>FEBRERO</t>
        </is>
      </c>
      <c r="AA44" s="88" t="inlineStr">
        <is>
          <t>DIRECTOR 2</t>
        </is>
      </c>
      <c r="AB44" s="89" t="inlineStr">
        <is>
          <t>N2</t>
        </is>
      </c>
      <c r="AC44" s="89" t="inlineStr">
        <is>
          <t>N1</t>
        </is>
      </c>
      <c r="AD44" s="89" t="inlineStr">
        <is>
          <t>En seguimiento</t>
        </is>
      </c>
      <c r="AE44" s="90" t="e">
        <v>#VALUE!</v>
      </c>
      <c r="AF44" s="89" t="inlineStr">
        <is>
          <t>Media</t>
        </is>
      </c>
      <c r="AG44" s="89">
        <f>AC44&amp;"|"&amp;AD44</f>
        <v/>
      </c>
      <c r="AH44" s="86" t="n"/>
      <c r="AI44" s="86" t="n"/>
      <c r="AJ44" s="86" t="n">
        <v>44</v>
      </c>
      <c r="AK44" s="102" t="inlineStr">
        <is>
          <t>Sthefanie Botello</t>
        </is>
      </c>
      <c r="AN44" t="inlineStr">
        <is>
          <t>Consumo Masivo</t>
        </is>
      </c>
    </row>
    <row r="45" ht="30" customFormat="1" customHeight="1" s="129">
      <c r="A45" s="102" t="inlineStr">
        <is>
          <t>N2</t>
        </is>
      </c>
      <c r="B45" s="103" t="inlineStr">
        <is>
          <t>Camilo Prada</t>
        </is>
      </c>
      <c r="C45" s="102" t="inlineStr">
        <is>
          <t>BEIJING XIAOMI MOBILE SOFTWARE CO LTD</t>
        </is>
      </c>
      <c r="D45" s="308" t="n">
        <v>24015738</v>
      </c>
      <c r="E45" s="102" t="inlineStr">
        <is>
          <t>Tiene un decrecimiento en su participación dell mercado de 82%.  Y dejarón de invertir en la radio</t>
        </is>
      </c>
      <c r="F45" s="102" t="n"/>
      <c r="G45" s="102" t="n"/>
      <c r="H45" s="103" t="inlineStr">
        <is>
          <t>GENERAR PROPUESTA COMERCIAL</t>
        </is>
      </c>
      <c r="I45" s="105" t="n">
        <v>0</v>
      </c>
      <c r="J45" s="102" t="n"/>
      <c r="K45" s="105" t="n">
        <v>0</v>
      </c>
      <c r="L45" s="102" t="n"/>
      <c r="M45" s="105" t="n">
        <v>0</v>
      </c>
      <c r="N45" s="102" t="n"/>
      <c r="O45" s="102" t="inlineStr">
        <is>
          <t>Por Mejorar</t>
        </is>
      </c>
      <c r="P45" s="102">
        <f>A45&amp;"|"&amp;O45</f>
        <v/>
      </c>
      <c r="Q45" s="102" t="inlineStr">
        <is>
          <t>Alta</t>
        </is>
      </c>
      <c r="R45" s="102">
        <f>TRIM(tbl_BasePowerBI[[#This Row],[NOMBRE EJECUTIVO]])</f>
        <v/>
      </c>
      <c r="S45" s="102" t="n"/>
      <c r="T45" s="106" t="n"/>
      <c r="U45" s="106" t="n"/>
      <c r="V45" s="160" t="n"/>
      <c r="W45" s="307" t="n">
        <v>0</v>
      </c>
      <c r="X45" s="86" t="n"/>
      <c r="Y45" s="86" t="n"/>
      <c r="Z45" s="86" t="inlineStr">
        <is>
          <t>MARZO</t>
        </is>
      </c>
      <c r="AA45" s="88" t="inlineStr">
        <is>
          <t>DIRECTOR 3</t>
        </is>
      </c>
      <c r="AB45" s="89" t="inlineStr">
        <is>
          <t>N3</t>
        </is>
      </c>
      <c r="AC45" s="89" t="inlineStr">
        <is>
          <t>N1</t>
        </is>
      </c>
      <c r="AD45" s="89" t="inlineStr">
        <is>
          <t>Cerrada</t>
        </is>
      </c>
      <c r="AE45" s="90" t="e">
        <v>#VALUE!</v>
      </c>
      <c r="AF45" s="89" t="inlineStr">
        <is>
          <t>Alta</t>
        </is>
      </c>
      <c r="AG45" s="89">
        <f>AC45&amp;"|"&amp;AD45</f>
        <v/>
      </c>
      <c r="AH45" s="86" t="n"/>
      <c r="AI45" s="86" t="n"/>
      <c r="AJ45" s="86" t="n">
        <v>45</v>
      </c>
      <c r="AK45" s="102" t="n"/>
      <c r="AN45" t="inlineStr">
        <is>
          <t>Tecnología</t>
        </is>
      </c>
    </row>
    <row r="46" ht="57.75" customFormat="1" customHeight="1" s="129">
      <c r="A46" s="116" t="inlineStr">
        <is>
          <t>N2</t>
        </is>
      </c>
      <c r="B46" s="103" t="inlineStr">
        <is>
          <t>Camilo Prada</t>
        </is>
      </c>
      <c r="C46" s="102" t="inlineStr">
        <is>
          <t>FEDERACION NACIONAL DE CULTIVADORES DE PALMA DE ACEITE</t>
        </is>
      </c>
      <c r="D46" s="308" t="n">
        <v>0</v>
      </c>
      <c r="E46" s="102" t="inlineStr">
        <is>
          <t>Tiene un crecimiento en su participación del mercado de 132%. Pero no tiene participación en la Radio.</t>
        </is>
      </c>
      <c r="F46" s="102" t="n"/>
      <c r="G46" s="102" t="n"/>
      <c r="H46" s="103" t="inlineStr">
        <is>
          <t>GENERAR PROPUESTA COMERCIAL</t>
        </is>
      </c>
      <c r="I46" s="105" t="n">
        <v>0</v>
      </c>
      <c r="J46" s="102" t="n"/>
      <c r="K46" s="105" t="n">
        <v>0</v>
      </c>
      <c r="L46" s="102" t="n"/>
      <c r="M46" s="105" t="n">
        <v>0</v>
      </c>
      <c r="N46" s="102" t="n"/>
      <c r="O46" s="102" t="inlineStr">
        <is>
          <t>Por Mejorar</t>
        </is>
      </c>
      <c r="P46" s="102">
        <f>A46&amp;"|"&amp;O46</f>
        <v/>
      </c>
      <c r="Q46" s="102" t="inlineStr">
        <is>
          <t>Alta</t>
        </is>
      </c>
      <c r="R46" s="102">
        <f>TRIM(tbl_BasePowerBI[[#This Row],[NOMBRE EJECUTIVO]])</f>
        <v/>
      </c>
      <c r="S46" s="102" t="n"/>
      <c r="T46" s="106" t="n"/>
      <c r="U46" s="106" t="n"/>
      <c r="V46" s="160" t="n"/>
      <c r="W46" s="307" t="n">
        <v>0</v>
      </c>
      <c r="X46" s="86" t="n"/>
      <c r="Y46" s="86" t="n"/>
      <c r="Z46" s="86" t="inlineStr">
        <is>
          <t>MAYO</t>
        </is>
      </c>
      <c r="AA46" s="88" t="inlineStr">
        <is>
          <t>DIRECTOR 5</t>
        </is>
      </c>
      <c r="AB46" s="89" t="inlineStr">
        <is>
          <t>N5</t>
        </is>
      </c>
      <c r="AC46" s="89" t="inlineStr">
        <is>
          <t>N2</t>
        </is>
      </c>
      <c r="AD46" s="89" t="inlineStr">
        <is>
          <t>En seguimiento</t>
        </is>
      </c>
      <c r="AE46" s="90" t="e">
        <v>#VALUE!</v>
      </c>
      <c r="AF46" s="89" t="n"/>
      <c r="AG46" s="89">
        <f>AC46&amp;"|"&amp;AD46</f>
        <v/>
      </c>
      <c r="AH46" s="86" t="n"/>
      <c r="AI46" s="86" t="n"/>
      <c r="AJ46" s="86" t="n">
        <v>46</v>
      </c>
      <c r="AK46" s="102" t="n"/>
      <c r="AN46" t="inlineStr">
        <is>
          <t>Servicios</t>
        </is>
      </c>
    </row>
    <row r="47" ht="30" customFormat="1" customHeight="1" s="129">
      <c r="A47" s="102" t="inlineStr">
        <is>
          <t>N2</t>
        </is>
      </c>
      <c r="B47" s="103" t="inlineStr">
        <is>
          <t>Camilo Prada</t>
        </is>
      </c>
      <c r="C47" s="102" t="inlineStr">
        <is>
          <t>LABORATORIOS BUSSIE SA</t>
        </is>
      </c>
      <c r="D47" s="308" t="n">
        <v>0</v>
      </c>
      <c r="E47" s="102" t="inlineStr">
        <is>
          <t>Tienen un decrecimiento en su participación dell mercado de 69%.  Y tiene toda su participación en Diarios.</t>
        </is>
      </c>
      <c r="F47" s="102" t="n"/>
      <c r="G47" s="102" t="n"/>
      <c r="H47" s="103" t="inlineStr">
        <is>
          <t>GENERAR PROPUESTA COMERCIAL</t>
        </is>
      </c>
      <c r="I47" s="105" t="n">
        <v>0</v>
      </c>
      <c r="J47" s="102" t="n"/>
      <c r="K47" s="105" t="n">
        <v>0</v>
      </c>
      <c r="L47" s="102" t="n"/>
      <c r="M47" s="105" t="n">
        <v>0</v>
      </c>
      <c r="N47" s="102" t="n"/>
      <c r="O47" s="102" t="inlineStr">
        <is>
          <t>Por Mejorar</t>
        </is>
      </c>
      <c r="P47" s="102">
        <f>A47&amp;"|"&amp;O47</f>
        <v/>
      </c>
      <c r="Q47" s="102" t="inlineStr">
        <is>
          <t>Alta</t>
        </is>
      </c>
      <c r="R47" s="102">
        <f>TRIM(tbl_BasePowerBI[[#This Row],[NOMBRE EJECUTIVO]])</f>
        <v/>
      </c>
      <c r="S47" s="102" t="n"/>
      <c r="T47" s="106" t="n"/>
      <c r="U47" s="106" t="n"/>
      <c r="V47" s="159" t="n"/>
      <c r="W47" s="307" t="n">
        <v>0</v>
      </c>
      <c r="X47" s="86" t="n"/>
      <c r="Y47" s="86" t="n"/>
      <c r="Z47" s="86" t="inlineStr">
        <is>
          <t>JUNIO</t>
        </is>
      </c>
      <c r="AA47" s="89" t="n"/>
      <c r="AB47" s="89" t="inlineStr">
        <is>
          <t>ALIANZA</t>
        </is>
      </c>
      <c r="AC47" s="89" t="inlineStr">
        <is>
          <t>N2</t>
        </is>
      </c>
      <c r="AD47" s="89" t="inlineStr">
        <is>
          <t>Cerrada</t>
        </is>
      </c>
      <c r="AE47" s="90" t="e">
        <v>#VALUE!</v>
      </c>
      <c r="AF47" s="89" t="n"/>
      <c r="AG47" s="89">
        <f>AC47&amp;"|"&amp;AD47</f>
        <v/>
      </c>
      <c r="AH47" s="86" t="n"/>
      <c r="AI47" s="86" t="n"/>
      <c r="AJ47" s="86" t="n">
        <v>47</v>
      </c>
      <c r="AK47" s="102" t="n"/>
      <c r="AN47" t="inlineStr">
        <is>
          <t>Salud</t>
        </is>
      </c>
    </row>
    <row r="48" ht="48.75" customFormat="1" customHeight="1" s="129">
      <c r="A48" s="98" t="inlineStr">
        <is>
          <t>N2</t>
        </is>
      </c>
      <c r="B48" s="101" t="inlineStr">
        <is>
          <t>Luisa Escobar</t>
        </is>
      </c>
      <c r="C48" s="98" t="inlineStr">
        <is>
          <t>DISTRIBUIDORA TOYOTA S.A.S.</t>
        </is>
      </c>
      <c r="D48" s="305" t="n">
        <v>28067985</v>
      </c>
      <c r="E48" s="98" t="inlineStr">
        <is>
          <t>Tiene un decrecimiento en su participación del mercado de 32%. Tienen el 61% de participación en la Radio, y Prisa Media  perdio participación en el medio radial.</t>
        </is>
      </c>
      <c r="F48" s="98" t="n"/>
      <c r="G48" s="98" t="n"/>
      <c r="H48" s="101" t="inlineStr">
        <is>
          <t>GENERAR PROPUESTA COMERCIAL</t>
        </is>
      </c>
      <c r="I48" s="99" t="n">
        <v>100</v>
      </c>
      <c r="J48" s="98" t="inlineStr">
        <is>
          <t>Entregar la propuesta digital y su valorización al ejecutivo correspondiente.</t>
        </is>
      </c>
      <c r="K48" s="99" t="n">
        <v>100</v>
      </c>
      <c r="L48" s="101" t="inlineStr">
        <is>
          <t xml:space="preserve">Realizar seguimiento a la propuesta para conocer su estado, confirmar si se concretó el cierre e identificar oportunidades de mejora. </t>
        </is>
      </c>
      <c r="M48" s="99" t="n">
        <v>100</v>
      </c>
      <c r="N48" s="98" t="n"/>
      <c r="O48" s="98" t="inlineStr">
        <is>
          <t>En seguimiento</t>
        </is>
      </c>
      <c r="P48" s="98">
        <f>A48&amp;"|"&amp;O48</f>
        <v/>
      </c>
      <c r="Q48" s="98" t="inlineStr">
        <is>
          <t>Media</t>
        </is>
      </c>
      <c r="R48" s="98">
        <f>TRIM(tbl_BasePowerBI[[#This Row],[NOMBRE EJECUTIVO]])</f>
        <v/>
      </c>
      <c r="S48" s="98" t="inlineStr">
        <is>
          <t>JUNIO</t>
        </is>
      </c>
      <c r="T48" s="100" t="n">
        <v>46177</v>
      </c>
      <c r="U48" s="100" t="n">
        <v>46197</v>
      </c>
      <c r="V48" s="157" t="inlineStr">
        <is>
          <t>PRODUCTO DIGITAL DISTOYOTA.pptx</t>
        </is>
      </c>
      <c r="W48" s="306" t="n">
        <v>54244200</v>
      </c>
      <c r="X48" s="86" t="n"/>
      <c r="Y48" s="86" t="n"/>
      <c r="Z48" s="86" t="inlineStr">
        <is>
          <t>JULIO</t>
        </is>
      </c>
      <c r="AA48" s="89" t="n"/>
      <c r="AB48" s="89" t="inlineStr">
        <is>
          <t>PRODUCTOS GENERALES</t>
        </is>
      </c>
      <c r="AC48" s="89" t="inlineStr">
        <is>
          <t>N3</t>
        </is>
      </c>
      <c r="AD48" s="89" t="inlineStr">
        <is>
          <t>Por Mejorar</t>
        </is>
      </c>
      <c r="AE48" s="90" t="e">
        <v>#VALUE!</v>
      </c>
      <c r="AF48" s="89" t="n"/>
      <c r="AG48" s="89">
        <f>AC48&amp;"|"&amp;AD48</f>
        <v/>
      </c>
      <c r="AH48" s="86" t="n"/>
      <c r="AI48" s="86" t="n"/>
      <c r="AJ48" s="86" t="n">
        <v>48</v>
      </c>
      <c r="AK48" s="102" t="inlineStr">
        <is>
          <t>Juan Pablo Godoy</t>
        </is>
      </c>
      <c r="AN48" t="inlineStr">
        <is>
          <t>Automotriz</t>
        </is>
      </c>
    </row>
    <row r="49" ht="51" customFormat="1" customHeight="1" s="129">
      <c r="A49" s="98" t="inlineStr">
        <is>
          <t>N2</t>
        </is>
      </c>
      <c r="B49" s="101" t="inlineStr">
        <is>
          <t>Luisa Escobar</t>
        </is>
      </c>
      <c r="C49" s="98" t="inlineStr">
        <is>
          <t>BRECCIA SALUD S A S</t>
        </is>
      </c>
      <c r="D49" s="305" t="n">
        <v>13706000</v>
      </c>
      <c r="E49" s="98" t="inlineStr">
        <is>
          <t>Tiene un decrecimiento en la participación del mercado de 25%. Tiene el 37% de participaón en la Radio, Prisa Media tiene el 6% perdiendo participación con RCN. FRANQUICIA EN ARMONIA</t>
        </is>
      </c>
      <c r="F49" s="98" t="n"/>
      <c r="G49" s="98" t="n"/>
      <c r="H49" s="101" t="inlineStr">
        <is>
          <t>GENERAR PROPUESTA COMERCIAL - FRANQUICIA EN ARMONIA</t>
        </is>
      </c>
      <c r="I49" s="99" t="n">
        <v>100</v>
      </c>
      <c r="J49" s="101" t="inlineStr">
        <is>
          <t>Entregar la propuesta digital y su valorización al ejecutivo correspondiente.</t>
        </is>
      </c>
      <c r="K49" s="99" t="n">
        <v>100</v>
      </c>
      <c r="L49" s="101" t="inlineStr">
        <is>
          <t>Realizar seguimiento a la propuesta para conocer su estado, confirmar si se concretó el cierre e identificar oportunidades de mejora.</t>
        </is>
      </c>
      <c r="M49" s="99" t="n">
        <v>50</v>
      </c>
      <c r="N49" s="98" t="n"/>
      <c r="O49" s="98" t="inlineStr">
        <is>
          <t>En seguimiento</t>
        </is>
      </c>
      <c r="P49" s="98">
        <f>A49&amp;"|"&amp;O49</f>
        <v/>
      </c>
      <c r="Q49" s="98" t="inlineStr">
        <is>
          <t>Media</t>
        </is>
      </c>
      <c r="R49" s="98">
        <f>TRIM(tbl_BasePowerBI[[#This Row],[NOMBRE EJECUTIVO]])</f>
        <v/>
      </c>
      <c r="S49" s="98" t="inlineStr">
        <is>
          <t>JUNIO</t>
        </is>
      </c>
      <c r="T49" s="100" t="n">
        <v>46177</v>
      </c>
      <c r="U49" s="106" t="n">
        <v>46198</v>
      </c>
      <c r="V49" s="159" t="inlineStr">
        <is>
          <t>Producto_Digital_EN EQUILIBRIO.pptx</t>
        </is>
      </c>
      <c r="W49" s="307" t="n">
        <v>30200000</v>
      </c>
      <c r="X49" s="86" t="n"/>
      <c r="Y49" s="86" t="n"/>
      <c r="Z49" s="86" t="inlineStr">
        <is>
          <t>AGOSTO</t>
        </is>
      </c>
      <c r="AA49" s="89" t="n"/>
      <c r="AB49" s="89" t="n"/>
      <c r="AC49" s="89" t="inlineStr">
        <is>
          <t>N3</t>
        </is>
      </c>
      <c r="AD49" s="89" t="inlineStr">
        <is>
          <t>En seguimiento</t>
        </is>
      </c>
      <c r="AE49" s="90" t="e">
        <v>#VALUE!</v>
      </c>
      <c r="AF49" s="89" t="n"/>
      <c r="AG49" s="89">
        <f>AC49&amp;"|"&amp;AD49</f>
        <v/>
      </c>
      <c r="AH49" s="86" t="n"/>
      <c r="AI49" s="86" t="n"/>
      <c r="AJ49" s="86" t="n">
        <v>49</v>
      </c>
      <c r="AK49" s="102" t="inlineStr">
        <is>
          <t>Sthefanie Botello</t>
        </is>
      </c>
      <c r="AN49" t="inlineStr">
        <is>
          <t>Salud</t>
        </is>
      </c>
    </row>
    <row r="50" ht="30" customFormat="1" customHeight="1" s="129">
      <c r="A50" s="102" t="inlineStr">
        <is>
          <t>N2</t>
        </is>
      </c>
      <c r="B50" s="103" t="inlineStr">
        <is>
          <t>Luisa Escobar</t>
        </is>
      </c>
      <c r="C50" s="102" t="inlineStr">
        <is>
          <t>GRUPO EMPRESARIAL OIKOS S.A.S.</t>
        </is>
      </c>
      <c r="D50" s="308" t="n">
        <v>0</v>
      </c>
      <c r="E50" s="102" t="inlineStr">
        <is>
          <t>Tiene un crecimeinto en la participación del mercado de 300%.  Y tiene su participación en los medios Digital y Vias Publicas.</t>
        </is>
      </c>
      <c r="F50" s="102" t="n"/>
      <c r="G50" s="102" t="n"/>
      <c r="H50" s="103" t="inlineStr">
        <is>
          <t>GENERAR PROPUESTA COMERCIAL</t>
        </is>
      </c>
      <c r="I50" s="105" t="n">
        <v>0</v>
      </c>
      <c r="J50" s="102" t="n"/>
      <c r="K50" s="105" t="n">
        <v>0</v>
      </c>
      <c r="L50" s="102" t="n"/>
      <c r="M50" s="105" t="n">
        <v>0</v>
      </c>
      <c r="N50" s="102" t="n"/>
      <c r="O50" s="102" t="inlineStr">
        <is>
          <t>Por Mejorar</t>
        </is>
      </c>
      <c r="P50" s="102">
        <f>A50&amp;"|"&amp;O50</f>
        <v/>
      </c>
      <c r="Q50" s="102" t="inlineStr">
        <is>
          <t>Alta</t>
        </is>
      </c>
      <c r="R50" s="102">
        <f>TRIM(tbl_BasePowerBI[[#This Row],[NOMBRE EJECUTIVO]])</f>
        <v/>
      </c>
      <c r="S50" s="102" t="n"/>
      <c r="T50" s="106" t="n"/>
      <c r="U50" s="106" t="n"/>
      <c r="V50" s="160" t="n"/>
      <c r="W50" s="307" t="n">
        <v>0</v>
      </c>
      <c r="X50" s="86" t="n"/>
      <c r="Y50" s="86" t="n"/>
      <c r="Z50" s="86" t="inlineStr">
        <is>
          <t>SEPTIEMBRE</t>
        </is>
      </c>
      <c r="AA50" s="89" t="n"/>
      <c r="AB50" s="89" t="n"/>
      <c r="AC50" s="89" t="inlineStr">
        <is>
          <t>N3</t>
        </is>
      </c>
      <c r="AD50" s="89" t="inlineStr">
        <is>
          <t>Cerrada</t>
        </is>
      </c>
      <c r="AE50" s="90" t="e">
        <v>#VALUE!</v>
      </c>
      <c r="AF50" s="89" t="n"/>
      <c r="AG50" s="89">
        <f>AC50&amp;"|"&amp;AD50</f>
        <v/>
      </c>
      <c r="AH50" s="86" t="n"/>
      <c r="AI50" s="86" t="n"/>
      <c r="AJ50" s="86" t="n">
        <v>50</v>
      </c>
      <c r="AK50" s="102" t="n"/>
      <c r="AN50" t="inlineStr">
        <is>
          <t>Inmobiliario</t>
        </is>
      </c>
    </row>
    <row r="51" ht="30" customFormat="1" customHeight="1" s="129">
      <c r="A51" s="102" t="inlineStr">
        <is>
          <t>N2</t>
        </is>
      </c>
      <c r="B51" s="103" t="inlineStr">
        <is>
          <t>Lina Lemus</t>
        </is>
      </c>
      <c r="C51" s="102" t="inlineStr">
        <is>
          <t>GRUPO EMPRESARIAL EN LINEA S.A.</t>
        </is>
      </c>
      <c r="D51" s="308" t="n">
        <v>17507282</v>
      </c>
      <c r="E51" s="102" t="inlineStr">
        <is>
          <t>Tiene un decrecimiento en su participación del mercado de 59%. Y la Radio tiene un participación del 10%, Prisa Media tiene el 30% de la participación en l aradio. Perdiendo participación frente a Oro.</t>
        </is>
      </c>
      <c r="F51" s="102" t="n"/>
      <c r="G51" s="102" t="n"/>
      <c r="H51" s="103" t="inlineStr">
        <is>
          <t>GENERAR PROPUESTA COMERCIAL</t>
        </is>
      </c>
      <c r="I51" s="105" t="n">
        <v>0</v>
      </c>
      <c r="J51" s="102" t="n"/>
      <c r="K51" s="105" t="n">
        <v>0</v>
      </c>
      <c r="L51" s="102" t="n"/>
      <c r="M51" s="105" t="n">
        <v>0</v>
      </c>
      <c r="N51" s="102" t="n"/>
      <c r="O51" s="102" t="inlineStr">
        <is>
          <t>Por Mejorar</t>
        </is>
      </c>
      <c r="P51" s="102">
        <f>A51&amp;"|"&amp;O51</f>
        <v/>
      </c>
      <c r="Q51" s="102" t="inlineStr">
        <is>
          <t>Alta</t>
        </is>
      </c>
      <c r="R51" s="102">
        <f>TRIM(tbl_BasePowerBI[[#This Row],[NOMBRE EJECUTIVO]])</f>
        <v/>
      </c>
      <c r="S51" s="102" t="n"/>
      <c r="T51" s="106" t="n"/>
      <c r="U51" s="106" t="n"/>
      <c r="V51" s="160" t="n"/>
      <c r="W51" s="307" t="n">
        <v>0</v>
      </c>
      <c r="X51" s="86" t="n"/>
      <c r="Y51" s="86" t="n"/>
      <c r="Z51" s="86" t="inlineStr">
        <is>
          <t>OCTUBRE</t>
        </is>
      </c>
      <c r="AA51" s="89" t="n"/>
      <c r="AB51" s="89" t="n"/>
      <c r="AC51" s="89" t="inlineStr">
        <is>
          <t>N4</t>
        </is>
      </c>
      <c r="AD51" s="89" t="inlineStr">
        <is>
          <t>Por Mejorar</t>
        </is>
      </c>
      <c r="AE51" s="90" t="e">
        <v>#VALUE!</v>
      </c>
      <c r="AF51" s="89" t="n"/>
      <c r="AG51" s="89">
        <f>AC51&amp;"|"&amp;AD51</f>
        <v/>
      </c>
      <c r="AH51" s="86" t="n"/>
      <c r="AI51" s="86" t="n"/>
      <c r="AJ51" s="86" t="n">
        <v>51</v>
      </c>
      <c r="AK51" s="102" t="n"/>
      <c r="AN51" t="inlineStr">
        <is>
          <t>Servicios</t>
        </is>
      </c>
    </row>
    <row r="52" ht="30" customFormat="1" customHeight="1" s="129">
      <c r="A52" s="102" t="inlineStr">
        <is>
          <t>N2</t>
        </is>
      </c>
      <c r="B52" s="103" t="inlineStr">
        <is>
          <t>Lina Lemus</t>
        </is>
      </c>
      <c r="C52" s="102" t="inlineStr">
        <is>
          <t>OPELLA HEALTHCARE COLOMBIA S.A.S.</t>
        </is>
      </c>
      <c r="D52" s="308" t="n">
        <v>86896644</v>
      </c>
      <c r="E52" s="102" t="inlineStr">
        <is>
          <t>Tiene un decrecimiento en la participación del mercado de 75%, La radio tiene una participación del 2%, Y Prisa Media tiene el 88% de la participación en la Radio.</t>
        </is>
      </c>
      <c r="F52" s="102" t="n"/>
      <c r="G52" s="102" t="n"/>
      <c r="H52" s="103" t="inlineStr">
        <is>
          <t>GENERAR PROPUESTA COMERCIAL</t>
        </is>
      </c>
      <c r="I52" s="105" t="n">
        <v>0</v>
      </c>
      <c r="J52" s="102" t="n"/>
      <c r="K52" s="105" t="n">
        <v>0</v>
      </c>
      <c r="L52" s="102" t="n"/>
      <c r="M52" s="105" t="n">
        <v>0</v>
      </c>
      <c r="N52" s="102" t="n"/>
      <c r="O52" s="102" t="inlineStr">
        <is>
          <t>Por Mejorar</t>
        </is>
      </c>
      <c r="P52" s="102">
        <f>A52&amp;"|"&amp;O52</f>
        <v/>
      </c>
      <c r="Q52" s="102" t="inlineStr">
        <is>
          <t>Alta</t>
        </is>
      </c>
      <c r="R52" s="102">
        <f>TRIM(tbl_BasePowerBI[[#This Row],[NOMBRE EJECUTIVO]])</f>
        <v/>
      </c>
      <c r="S52" s="102" t="n"/>
      <c r="T52" s="106" t="n"/>
      <c r="U52" s="106" t="n"/>
      <c r="V52" s="160" t="n"/>
      <c r="W52" s="307" t="n">
        <v>0</v>
      </c>
      <c r="X52" s="86" t="n"/>
      <c r="Y52" s="86" t="n"/>
      <c r="Z52" s="86" t="inlineStr">
        <is>
          <t>NOVIEMBRE</t>
        </is>
      </c>
      <c r="AA52" s="89" t="n"/>
      <c r="AB52" s="89" t="n"/>
      <c r="AC52" s="89" t="inlineStr">
        <is>
          <t>N4</t>
        </is>
      </c>
      <c r="AD52" s="89" t="inlineStr">
        <is>
          <t>En seguimiento</t>
        </is>
      </c>
      <c r="AE52" s="90" t="e">
        <v>#VALUE!</v>
      </c>
      <c r="AF52" s="89" t="n"/>
      <c r="AG52" s="89">
        <f>AC52&amp;"|"&amp;AD52</f>
        <v/>
      </c>
      <c r="AH52" s="86" t="n"/>
      <c r="AI52" s="86" t="n"/>
      <c r="AJ52" s="86" t="n">
        <v>52</v>
      </c>
      <c r="AK52" s="102" t="n"/>
      <c r="AN52" t="inlineStr">
        <is>
          <t>Salud</t>
        </is>
      </c>
    </row>
    <row r="53" ht="30" customFormat="1" customHeight="1" s="129">
      <c r="A53" s="98" t="inlineStr">
        <is>
          <t>N2</t>
        </is>
      </c>
      <c r="B53" s="98" t="inlineStr">
        <is>
          <t>Lina Lemus</t>
        </is>
      </c>
      <c r="C53" s="98" t="inlineStr">
        <is>
          <t>MERCADO LIBRE</t>
        </is>
      </c>
      <c r="D53" s="305" t="n">
        <v>30000000</v>
      </c>
      <c r="E53" s="98" t="inlineStr">
        <is>
          <t>PROPUESTA DIGITAL DINAMICA CAJA  SORPRESA + PUNTOS</t>
        </is>
      </c>
      <c r="F53" s="98" t="n"/>
      <c r="G53" s="98" t="n"/>
      <c r="H53" s="101" t="inlineStr">
        <is>
          <t>GENERAR PROPUESTA COMERCIAL</t>
        </is>
      </c>
      <c r="I53" s="99" t="n">
        <v>100</v>
      </c>
      <c r="J53" s="101" t="inlineStr">
        <is>
          <t>Entregar la propuesta digital y su valorización al ejecutivo correspondiente.</t>
        </is>
      </c>
      <c r="K53" s="99" t="n">
        <v>100</v>
      </c>
      <c r="L53" s="101" t="inlineStr">
        <is>
          <t>Realizar seguimiento a la propuesta para conocer su estado, confirmar si se concretó el cierre e identificar oportunidades de mejora.</t>
        </is>
      </c>
      <c r="M53" s="99" t="n">
        <v>100</v>
      </c>
      <c r="N53" s="98" t="n"/>
      <c r="O53" s="98" t="inlineStr">
        <is>
          <t>Por cerrar</t>
        </is>
      </c>
      <c r="P53" s="98">
        <f>A53&amp;"|"&amp;O53</f>
        <v/>
      </c>
      <c r="Q53" s="98" t="inlineStr">
        <is>
          <t>Media</t>
        </is>
      </c>
      <c r="R53" s="98">
        <f>TRIM(tbl_BasePowerBI[[#This Row],[NOMBRE EJECUTIVO]])</f>
        <v/>
      </c>
      <c r="S53" s="98" t="inlineStr">
        <is>
          <t>JUNIO</t>
        </is>
      </c>
      <c r="T53" s="100" t="n">
        <v>46177</v>
      </c>
      <c r="U53" s="100" t="n">
        <v>46181</v>
      </c>
      <c r="V53" s="157" t="inlineStr">
        <is>
          <t>Producto_Digital_MERCADO LIBRE LIVE COMMERCE.pptx</t>
        </is>
      </c>
      <c r="W53" s="306" t="n">
        <v>30000000</v>
      </c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  <c r="AI53" s="86" t="n"/>
      <c r="AJ53" s="86" t="n">
        <v>53</v>
      </c>
      <c r="AK53" s="102" t="inlineStr">
        <is>
          <t>Sthefanie Botello</t>
        </is>
      </c>
      <c r="AN53" t="inlineStr">
        <is>
          <t>Tecnología</t>
        </is>
      </c>
    </row>
    <row r="54" ht="30" customFormat="1" customHeight="1" s="129">
      <c r="A54" s="102" t="inlineStr">
        <is>
          <t>N2</t>
        </is>
      </c>
      <c r="B54" s="103" t="inlineStr">
        <is>
          <t>Luisa Escobar</t>
        </is>
      </c>
      <c r="C54" s="104" t="inlineStr">
        <is>
          <t>CENCSUD</t>
        </is>
      </c>
      <c r="D54" s="308" t="n">
        <v>0</v>
      </c>
      <c r="E54" s="102" t="n"/>
      <c r="F54" s="102" t="n"/>
      <c r="G54" s="102" t="n"/>
      <c r="H54" s="148" t="inlineStr">
        <is>
          <t>GENERAR PROPUESTA COMERCIAL</t>
        </is>
      </c>
      <c r="I54" s="105" t="n"/>
      <c r="J54" s="102" t="n"/>
      <c r="K54" s="105" t="n"/>
      <c r="L54" s="102" t="n"/>
      <c r="M54" s="105" t="n"/>
      <c r="N54" s="102" t="n"/>
      <c r="O54" s="102" t="inlineStr">
        <is>
          <t>Por Mejorar</t>
        </is>
      </c>
      <c r="P54" s="102">
        <f>A54&amp;"|"&amp;O54</f>
        <v/>
      </c>
      <c r="Q54" s="102" t="inlineStr">
        <is>
          <t>Alta</t>
        </is>
      </c>
      <c r="R54" s="102">
        <f>TRIM(tbl_BasePowerBI[[#This Row],[NOMBRE EJECUTIVO]])</f>
        <v/>
      </c>
      <c r="S54" s="102" t="n"/>
      <c r="T54" s="106" t="n"/>
      <c r="U54" s="106" t="n"/>
      <c r="V54" s="160" t="n"/>
      <c r="W54" s="307" t="n">
        <v>0</v>
      </c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  <c r="AI54" s="86" t="n"/>
      <c r="AJ54" s="86" t="n">
        <v>54</v>
      </c>
      <c r="AK54" s="102" t="n"/>
      <c r="AN54" t="inlineStr">
        <is>
          <t>Consumo Masivo</t>
        </is>
      </c>
    </row>
    <row r="55" ht="30" customFormat="1" customHeight="1" s="129">
      <c r="A55" s="98" t="inlineStr">
        <is>
          <t>N2</t>
        </is>
      </c>
      <c r="B55" s="101" t="inlineStr">
        <is>
          <t>Luisa Escobar</t>
        </is>
      </c>
      <c r="C55" s="107" t="inlineStr">
        <is>
          <t>JUMBO</t>
        </is>
      </c>
      <c r="D55" s="305" t="n">
        <v>50000000</v>
      </c>
      <c r="E55" s="98" t="inlineStr">
        <is>
          <t>PROPUESTA DIGITAL DINAMICA CON NFC Y CHAT IA</t>
        </is>
      </c>
      <c r="F55" s="98" t="n"/>
      <c r="G55" s="98" t="n"/>
      <c r="H55" s="101" t="inlineStr">
        <is>
          <t>GENERAR PROPUESTA COMERCIAL</t>
        </is>
      </c>
      <c r="I55" s="99" t="n">
        <v>100</v>
      </c>
      <c r="J55" s="98" t="inlineStr">
        <is>
          <t>Entregar la propuesta digital y su valorización al ejecutivo correspondiente.</t>
        </is>
      </c>
      <c r="K55" s="99" t="n">
        <v>50</v>
      </c>
      <c r="L55" s="98" t="inlineStr">
        <is>
          <t>Realizar seguimiento a la propuesta para conocer su estado, confirmar si se concretó el cierre e identificar oportunidades de mejora.</t>
        </is>
      </c>
      <c r="M55" s="99" t="n">
        <v>50</v>
      </c>
      <c r="N55" s="102" t="n"/>
      <c r="O55" s="98" t="inlineStr">
        <is>
          <t>En seguimiento</t>
        </is>
      </c>
      <c r="P55" s="98">
        <f>A55&amp;"|"&amp;O55</f>
        <v/>
      </c>
      <c r="Q55" s="98" t="inlineStr">
        <is>
          <t>Alta</t>
        </is>
      </c>
      <c r="R55" s="98">
        <f>TRIM(tbl_BasePowerBI[[#This Row],[NOMBRE EJECUTIVO]])</f>
        <v/>
      </c>
      <c r="S55" s="98" t="inlineStr">
        <is>
          <t>JULIO</t>
        </is>
      </c>
      <c r="T55" s="100" t="n">
        <v>46226</v>
      </c>
      <c r="U55" s="100" t="n">
        <v>46227</v>
      </c>
      <c r="V55" s="163" t="inlineStr">
        <is>
          <t>Producto_Digital-LA GRAN FIESTA DEL FESTIVERSARIO.pptx</t>
        </is>
      </c>
      <c r="W55" s="306" t="n">
        <v>50000000</v>
      </c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  <c r="AI55" s="86" t="n"/>
      <c r="AJ55" s="86" t="n">
        <v>55</v>
      </c>
      <c r="AK55" s="102" t="inlineStr">
        <is>
          <t>Sthefanie Botello</t>
        </is>
      </c>
      <c r="AN55" t="inlineStr">
        <is>
          <t>Consumo Masivo</t>
        </is>
      </c>
    </row>
    <row r="56" ht="30" customFormat="1" customHeight="1" s="129">
      <c r="A56" s="98" t="inlineStr">
        <is>
          <t>N2</t>
        </is>
      </c>
      <c r="B56" s="101" t="inlineStr">
        <is>
          <t>Lina Lemus</t>
        </is>
      </c>
      <c r="C56" s="107" t="inlineStr">
        <is>
          <t>VANTI</t>
        </is>
      </c>
      <c r="D56" s="308" t="n">
        <v>75000000</v>
      </c>
      <c r="E56" s="98" t="inlineStr">
        <is>
          <t>PROPUESTA DIGITAL DINAMICA  PAUTA INVESTIGATIVA, CAMION TROPICANA Y NFC</t>
        </is>
      </c>
      <c r="F56" s="98" t="n"/>
      <c r="G56" s="98" t="n"/>
      <c r="H56" s="101" t="inlineStr">
        <is>
          <t>GENERAR PROPUESTA COMERCIAL</t>
        </is>
      </c>
      <c r="I56" s="99" t="n">
        <v>100</v>
      </c>
      <c r="J56" s="149" t="inlineStr">
        <is>
          <t>Entregar la propuesta digital y su valorización al ejecutivo correspondiente.</t>
        </is>
      </c>
      <c r="K56" s="99" t="n">
        <v>50</v>
      </c>
      <c r="L56" s="98" t="inlineStr">
        <is>
          <t>Realizar seguimiento a la propuesta para conocer su estado, confirmar si se concretó el cierre e identificar oportunidades de mejora.</t>
        </is>
      </c>
      <c r="M56" s="99" t="n">
        <v>50</v>
      </c>
      <c r="N56" s="98" t="n"/>
      <c r="O56" s="98" t="inlineStr">
        <is>
          <t>En seguimiento</t>
        </is>
      </c>
      <c r="P56" s="98">
        <f>A56&amp;"|"&amp;O56</f>
        <v/>
      </c>
      <c r="Q56" s="98" t="inlineStr">
        <is>
          <t>Alta</t>
        </is>
      </c>
      <c r="R56" s="98">
        <f>TRIM(tbl_BasePowerBI[[#This Row],[NOMBRE EJECUTIVO]])</f>
        <v/>
      </c>
      <c r="S56" s="98" t="inlineStr">
        <is>
          <t>JULIO</t>
        </is>
      </c>
      <c r="T56" s="106" t="n">
        <v>46225</v>
      </c>
      <c r="U56" s="106" t="n">
        <v>46230</v>
      </c>
      <c r="V56" s="163" t="inlineStr">
        <is>
          <t>MAPA DEL ULTIMO 1_ - VANTI - TROPICANA (1).pptx</t>
        </is>
      </c>
      <c r="W56" s="307" t="n">
        <v>75000000</v>
      </c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  <c r="AI56" s="86" t="n"/>
      <c r="AJ56" s="86" t="n">
        <v>56</v>
      </c>
      <c r="AK56" s="102" t="inlineStr">
        <is>
          <t>Jonathan Velasquez</t>
        </is>
      </c>
      <c r="AN56" t="inlineStr">
        <is>
          <t>Servicios</t>
        </is>
      </c>
    </row>
    <row r="57" ht="30" customFormat="1" customHeight="1" s="129">
      <c r="A57" s="102" t="inlineStr">
        <is>
          <t>N2</t>
        </is>
      </c>
      <c r="B57" s="103" t="inlineStr">
        <is>
          <t>Luisa Escobar</t>
        </is>
      </c>
      <c r="C57" s="104" t="inlineStr">
        <is>
          <t>DAVIVIENDA</t>
        </is>
      </c>
      <c r="D57" s="308" t="n">
        <v>0</v>
      </c>
      <c r="E57" s="102" t="n"/>
      <c r="F57" s="102" t="n"/>
      <c r="G57" s="102" t="n"/>
      <c r="H57" s="148" t="inlineStr">
        <is>
          <t>GENERAR PROPUESTA COMERCIAL</t>
        </is>
      </c>
      <c r="I57" s="105" t="n"/>
      <c r="J57" s="102" t="n"/>
      <c r="K57" s="105" t="n"/>
      <c r="L57" s="102" t="n"/>
      <c r="M57" s="105" t="n"/>
      <c r="N57" s="102" t="n"/>
      <c r="O57" s="102" t="inlineStr">
        <is>
          <t>Por Mejorar</t>
        </is>
      </c>
      <c r="P57" s="102">
        <f>A57&amp;"|"&amp;O57</f>
        <v/>
      </c>
      <c r="Q57" s="102" t="inlineStr">
        <is>
          <t>Alta</t>
        </is>
      </c>
      <c r="R57" s="102">
        <f>TRIM(tbl_BasePowerBI[[#This Row],[NOMBRE EJECUTIVO]])</f>
        <v/>
      </c>
      <c r="S57" s="102" t="n"/>
      <c r="T57" s="106" t="n"/>
      <c r="U57" s="106" t="n"/>
      <c r="V57" s="160" t="n"/>
      <c r="W57" s="307" t="n">
        <v>0</v>
      </c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  <c r="AI57" s="86" t="n"/>
      <c r="AJ57" s="86" t="n">
        <v>58</v>
      </c>
      <c r="AK57" s="102" t="n"/>
      <c r="AN57" t="inlineStr">
        <is>
          <t>Banca</t>
        </is>
      </c>
    </row>
    <row r="58" ht="30" customFormat="1" customHeight="1" s="129">
      <c r="A58" s="102" t="inlineStr">
        <is>
          <t>N2</t>
        </is>
      </c>
      <c r="B58" s="103" t="inlineStr">
        <is>
          <t>Lina Lemus</t>
        </is>
      </c>
      <c r="C58" s="104" t="inlineStr">
        <is>
          <t>NU BANK</t>
        </is>
      </c>
      <c r="D58" s="308" t="n">
        <v>0</v>
      </c>
      <c r="E58" s="102" t="n"/>
      <c r="F58" s="102" t="n"/>
      <c r="G58" s="102" t="n"/>
      <c r="H58" s="148" t="inlineStr">
        <is>
          <t>GENERAR PROPUESTA COMERCIAL</t>
        </is>
      </c>
      <c r="I58" s="105" t="n"/>
      <c r="J58" s="102" t="n"/>
      <c r="K58" s="105" t="n"/>
      <c r="L58" s="102" t="n"/>
      <c r="M58" s="105" t="n"/>
      <c r="N58" s="102" t="n"/>
      <c r="O58" s="102" t="inlineStr">
        <is>
          <t>Por Mejorar</t>
        </is>
      </c>
      <c r="P58" s="102">
        <f>A58&amp;"|"&amp;O58</f>
        <v/>
      </c>
      <c r="Q58" s="102" t="inlineStr">
        <is>
          <t>Alta</t>
        </is>
      </c>
      <c r="R58" s="102">
        <f>TRIM(tbl_BasePowerBI[[#This Row],[NOMBRE EJECUTIVO]])</f>
        <v/>
      </c>
      <c r="S58" s="102" t="n"/>
      <c r="T58" s="106" t="n"/>
      <c r="U58" s="106" t="n"/>
      <c r="V58" s="160" t="n"/>
      <c r="W58" s="307" t="n">
        <v>0</v>
      </c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  <c r="AI58" s="86" t="n"/>
      <c r="AJ58" s="86" t="n">
        <v>59</v>
      </c>
      <c r="AK58" s="102" t="n"/>
      <c r="AN58" t="inlineStr">
        <is>
          <t>Banca</t>
        </is>
      </c>
    </row>
    <row r="59" ht="30" customFormat="1" customHeight="1" s="129">
      <c r="A59" s="98" t="inlineStr">
        <is>
          <t>N2</t>
        </is>
      </c>
      <c r="B59" s="98" t="inlineStr">
        <is>
          <t>Lina Lemus</t>
        </is>
      </c>
      <c r="C59" s="98" t="inlineStr">
        <is>
          <t>FENAVI</t>
        </is>
      </c>
      <c r="D59" s="305" t="n">
        <v>40000000</v>
      </c>
      <c r="E59" s="101" t="inlineStr">
        <is>
          <t>DESARROLO DE PROPUESTA DIGITAL - FRANQUICIA PROBANDO PROBANDO</t>
        </is>
      </c>
      <c r="F59" s="98" t="n"/>
      <c r="G59" s="98" t="n"/>
      <c r="H59" s="101" t="inlineStr">
        <is>
          <t>Entregar la propuesta digital y su valorización al ejecutivo correspondiente.</t>
        </is>
      </c>
      <c r="I59" s="99" t="n">
        <v>100</v>
      </c>
      <c r="J59" s="98" t="inlineStr">
        <is>
          <t xml:space="preserve">La propuesta fue presentada al cliente </t>
        </is>
      </c>
      <c r="K59" s="99" t="n">
        <v>100</v>
      </c>
      <c r="L59" s="98" t="inlineStr">
        <is>
          <t>El cliente acepta la propuesta y esta queda pendiente de ejecución.</t>
        </is>
      </c>
      <c r="M59" s="99" t="n">
        <v>50</v>
      </c>
      <c r="N59" s="98" t="n"/>
      <c r="O59" s="98" t="inlineStr">
        <is>
          <t>Por cerrar</t>
        </is>
      </c>
      <c r="P59" s="98">
        <f>A59&amp;"|"&amp;O59</f>
        <v/>
      </c>
      <c r="Q59" s="98" t="inlineStr">
        <is>
          <t>Media</t>
        </is>
      </c>
      <c r="R59" s="98">
        <f>TRIM(tbl_BasePowerBI[[#This Row],[NOMBRE EJECUTIVO]])</f>
        <v/>
      </c>
      <c r="S59" s="98" t="inlineStr">
        <is>
          <t>JULIO</t>
        </is>
      </c>
      <c r="T59" s="100" t="n">
        <v>46204</v>
      </c>
      <c r="U59" s="106" t="n">
        <v>46204</v>
      </c>
      <c r="V59" s="159" t="inlineStr">
        <is>
          <t>Producto_Digital-La proteína que une a Colombia- FENAVI.pptx</t>
        </is>
      </c>
      <c r="W59" s="307" t="n">
        <v>40000000</v>
      </c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  <c r="AI59" s="86" t="n"/>
      <c r="AJ59" s="86" t="n">
        <v>60</v>
      </c>
      <c r="AK59" s="102" t="inlineStr">
        <is>
          <t>Sthefanie Botello</t>
        </is>
      </c>
      <c r="AN59" t="inlineStr">
        <is>
          <t>Servicios</t>
        </is>
      </c>
    </row>
    <row r="60" ht="30" customFormat="1" customHeight="1" s="129">
      <c r="A60" s="102" t="inlineStr">
        <is>
          <t>N3</t>
        </is>
      </c>
      <c r="B60" s="103" t="inlineStr">
        <is>
          <t>Helen Fajardo</t>
        </is>
      </c>
      <c r="C60" s="102" t="inlineStr">
        <is>
          <t>INVERSIONES GLP S.A.S. E.S.P.</t>
        </is>
      </c>
      <c r="D60" s="308" t="n">
        <v>38566800</v>
      </c>
      <c r="E60" s="102" t="inlineStr">
        <is>
          <t>Tiene un decrecimiento en su participación del mercado de 99%. Tiene toda su participación en Diarios.</t>
        </is>
      </c>
      <c r="F60" s="102" t="n"/>
      <c r="G60" s="102" t="n"/>
      <c r="H60" s="103" t="inlineStr">
        <is>
          <t>GENERAR PROPUESTA COMERCIAL</t>
        </is>
      </c>
      <c r="I60" s="105" t="n">
        <v>0</v>
      </c>
      <c r="J60" s="102" t="n"/>
      <c r="K60" s="105" t="n">
        <v>0</v>
      </c>
      <c r="L60" s="102" t="n"/>
      <c r="M60" s="105" t="n">
        <v>0</v>
      </c>
      <c r="N60" s="102" t="n"/>
      <c r="O60" s="102" t="inlineStr">
        <is>
          <t>Por Mejorar</t>
        </is>
      </c>
      <c r="P60" s="102">
        <f>A60&amp;"|"&amp;O60</f>
        <v/>
      </c>
      <c r="Q60" s="102" t="inlineStr">
        <is>
          <t>Alta</t>
        </is>
      </c>
      <c r="R60" s="102">
        <f>TRIM(tbl_BasePowerBI[[#This Row],[NOMBRE EJECUTIVO]])</f>
        <v/>
      </c>
      <c r="S60" s="102" t="n"/>
      <c r="T60" s="106" t="n"/>
      <c r="U60" s="106" t="n"/>
      <c r="V60" s="160" t="n"/>
      <c r="W60" s="307" t="n">
        <v>0</v>
      </c>
      <c r="X60" s="86" t="n"/>
      <c r="Y60" s="86" t="n"/>
      <c r="Z60" s="86" t="inlineStr">
        <is>
          <t>ABRIL</t>
        </is>
      </c>
      <c r="AA60" s="88" t="inlineStr">
        <is>
          <t>DIRECTOR 4</t>
        </is>
      </c>
      <c r="AB60" s="89" t="inlineStr">
        <is>
          <t>N4</t>
        </is>
      </c>
      <c r="AC60" s="89" t="inlineStr">
        <is>
          <t>N2</t>
        </is>
      </c>
      <c r="AD60" s="89" t="inlineStr">
        <is>
          <t>Por Mejorar</t>
        </is>
      </c>
      <c r="AE60" s="90" t="e">
        <v>#VALUE!</v>
      </c>
      <c r="AF60" s="89" t="n"/>
      <c r="AG60" s="89">
        <f>AC60&amp;"|"&amp;AD60</f>
        <v/>
      </c>
      <c r="AH60" s="86" t="n"/>
      <c r="AI60" s="86" t="n"/>
      <c r="AJ60" s="86" t="n">
        <v>61</v>
      </c>
      <c r="AK60" s="102" t="n"/>
      <c r="AN60" t="inlineStr">
        <is>
          <t>Servicios</t>
        </is>
      </c>
    </row>
    <row r="61" ht="30" customFormat="1" customHeight="1" s="129">
      <c r="A61" s="98" t="inlineStr">
        <is>
          <t>N3</t>
        </is>
      </c>
      <c r="B61" s="98" t="inlineStr">
        <is>
          <t>Helen Fajardo</t>
        </is>
      </c>
      <c r="C61" s="98" t="inlineStr">
        <is>
          <t>UNIVERSIDAD EUROPEA</t>
        </is>
      </c>
      <c r="D61" s="305" t="n">
        <v>40000000</v>
      </c>
      <c r="E61" s="98" t="inlineStr">
        <is>
          <t>PROPUESTA DIGITAL TODO Y MAS + FRANQUICIAS TECNOLOGIA Y LA OTRA ENTEVISTA</t>
        </is>
      </c>
      <c r="F61" s="98" t="n"/>
      <c r="G61" s="98" t="n"/>
      <c r="H61" s="101" t="inlineStr">
        <is>
          <t>GENERAR PROPUESTA COMERCIAL</t>
        </is>
      </c>
      <c r="I61" s="99" t="n">
        <v>100</v>
      </c>
      <c r="J61" s="98" t="inlineStr">
        <is>
          <t>ENTREGAR PROPUESTA</t>
        </is>
      </c>
      <c r="K61" s="99" t="n">
        <v>100</v>
      </c>
      <c r="L61" s="98" t="inlineStr">
        <is>
          <t>SIN CAMBIOS</t>
        </is>
      </c>
      <c r="M61" s="99" t="n">
        <v>50</v>
      </c>
      <c r="N61" s="98" t="n"/>
      <c r="O61" s="98" t="inlineStr">
        <is>
          <t>En seguimiento</t>
        </is>
      </c>
      <c r="P61" s="98">
        <f>A61&amp;"|"&amp;O61</f>
        <v/>
      </c>
      <c r="Q61" s="98" t="inlineStr">
        <is>
          <t>Media</t>
        </is>
      </c>
      <c r="R61" s="98">
        <f>TRIM(tbl_BasePowerBI[[#This Row],[NOMBRE EJECUTIVO]])</f>
        <v/>
      </c>
      <c r="S61" s="98" t="inlineStr">
        <is>
          <t>JUNIO</t>
        </is>
      </c>
      <c r="T61" s="100" t="n">
        <v>46185</v>
      </c>
      <c r="U61" s="106" t="n">
        <v>46185</v>
      </c>
      <c r="V61" s="159" t="inlineStr">
        <is>
          <t>PRODUCTO DIGITAL - FUTURO GLOBAL 1.pptx</t>
        </is>
      </c>
      <c r="W61" s="307" t="n">
        <v>46437280</v>
      </c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  <c r="AI61" s="86" t="n"/>
      <c r="AJ61" s="86" t="n">
        <v>62</v>
      </c>
      <c r="AK61" s="102" t="inlineStr">
        <is>
          <t>Sthefanie Botello</t>
        </is>
      </c>
      <c r="AN61" t="inlineStr">
        <is>
          <t>Educación</t>
        </is>
      </c>
    </row>
    <row r="62" ht="30" customFormat="1" customHeight="1" s="129">
      <c r="A62" s="102" t="inlineStr">
        <is>
          <t>N3</t>
        </is>
      </c>
      <c r="B62" s="103" t="inlineStr">
        <is>
          <t>Hugo Urrea</t>
        </is>
      </c>
      <c r="C62" s="104" t="inlineStr">
        <is>
          <t>CLARO</t>
        </is>
      </c>
      <c r="D62" s="308" t="n">
        <v>0</v>
      </c>
      <c r="E62" s="104" t="inlineStr">
        <is>
          <t>e-commerce / venta digital, tecnologia, ciberseguridad, servisios de fibra, facturacion electronica</t>
        </is>
      </c>
      <c r="F62" s="102" t="n"/>
      <c r="G62" s="102" t="n"/>
      <c r="H62" s="148" t="inlineStr">
        <is>
          <t>GENERAR PROPUESTA COMERCIAL</t>
        </is>
      </c>
      <c r="I62" s="105" t="n"/>
      <c r="J62" s="102" t="n"/>
      <c r="K62" s="105" t="n"/>
      <c r="L62" s="102" t="n"/>
      <c r="M62" s="105" t="n"/>
      <c r="N62" s="102" t="n"/>
      <c r="O62" s="102" t="inlineStr">
        <is>
          <t>Por Mejorar</t>
        </is>
      </c>
      <c r="P62" s="102">
        <f>A62&amp;"|"&amp;O62</f>
        <v/>
      </c>
      <c r="Q62" s="102" t="inlineStr">
        <is>
          <t>Alta</t>
        </is>
      </c>
      <c r="R62" s="102">
        <f>TRIM(tbl_BasePowerBI[[#This Row],[NOMBRE EJECUTIVO]])</f>
        <v/>
      </c>
      <c r="S62" s="102" t="n"/>
      <c r="T62" s="106" t="n"/>
      <c r="U62" s="106" t="n"/>
      <c r="V62" s="160" t="n"/>
      <c r="W62" s="307" t="n">
        <v>0</v>
      </c>
      <c r="X62" s="86" t="n"/>
      <c r="Y62" s="86" t="n"/>
      <c r="Z62" s="86" t="n"/>
      <c r="AA62" s="86" t="n"/>
      <c r="AB62" s="86" t="n"/>
      <c r="AC62" s="86" t="n"/>
      <c r="AD62" s="86" t="n"/>
      <c r="AE62" s="86" t="n"/>
      <c r="AF62" s="86" t="n"/>
      <c r="AG62" s="86" t="n"/>
      <c r="AH62" s="86" t="n"/>
      <c r="AI62" s="86" t="n"/>
      <c r="AJ62" s="86" t="n">
        <v>63</v>
      </c>
      <c r="AK62" s="102" t="n"/>
      <c r="AN62" t="inlineStr">
        <is>
          <t>Tecnología</t>
        </is>
      </c>
    </row>
    <row r="63" ht="30" customFormat="1" customHeight="1" s="129">
      <c r="A63" s="102" t="inlineStr">
        <is>
          <t>N3</t>
        </is>
      </c>
      <c r="B63" s="103" t="inlineStr">
        <is>
          <t>Hugo Urrea</t>
        </is>
      </c>
      <c r="C63" s="104" t="inlineStr">
        <is>
          <t>POLITECNICO</t>
        </is>
      </c>
      <c r="D63" s="308" t="n">
        <v>0</v>
      </c>
      <c r="E63" s="104" t="inlineStr">
        <is>
          <t>Leads - calidad - no registro - matricula</t>
        </is>
      </c>
      <c r="F63" s="102" t="n"/>
      <c r="G63" s="102" t="n"/>
      <c r="H63" s="148" t="inlineStr">
        <is>
          <t>GENERAR PROPUESTA COMERCIAL</t>
        </is>
      </c>
      <c r="I63" s="105" t="n"/>
      <c r="J63" s="102" t="n"/>
      <c r="K63" s="105" t="n"/>
      <c r="L63" s="102" t="n"/>
      <c r="M63" s="105" t="n"/>
      <c r="N63" s="102" t="n"/>
      <c r="O63" s="102" t="inlineStr">
        <is>
          <t>Por Mejorar</t>
        </is>
      </c>
      <c r="P63" s="102">
        <f>A63&amp;"|"&amp;O63</f>
        <v/>
      </c>
      <c r="Q63" s="102" t="inlineStr">
        <is>
          <t>Alta</t>
        </is>
      </c>
      <c r="R63" s="102">
        <f>TRIM(tbl_BasePowerBI[[#This Row],[NOMBRE EJECUTIVO]])</f>
        <v/>
      </c>
      <c r="S63" s="102" t="n"/>
      <c r="T63" s="106" t="n"/>
      <c r="U63" s="106" t="n"/>
      <c r="V63" s="160" t="n"/>
      <c r="W63" s="307" t="n">
        <v>0</v>
      </c>
      <c r="X63" s="86" t="n"/>
      <c r="Y63" s="86" t="n"/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  <c r="AI63" s="86" t="n"/>
      <c r="AJ63" s="86" t="n">
        <v>64</v>
      </c>
      <c r="AK63" s="102" t="n"/>
      <c r="AN63" t="inlineStr">
        <is>
          <t>Educación</t>
        </is>
      </c>
    </row>
    <row r="64" ht="30" customFormat="1" customHeight="1" s="129">
      <c r="A64" s="102" t="inlineStr">
        <is>
          <t>N3</t>
        </is>
      </c>
      <c r="B64" s="103" t="inlineStr">
        <is>
          <t>Sofia Calvera</t>
        </is>
      </c>
      <c r="C64" s="104" t="inlineStr">
        <is>
          <t>CORONA</t>
        </is>
      </c>
      <c r="D64" s="308" t="n">
        <v>0</v>
      </c>
      <c r="E64" s="104" t="inlineStr">
        <is>
          <t xml:space="preserve">este año su campaña es muy visual NSE alto / se le ha ofrecido figital pero no les gusta </t>
        </is>
      </c>
      <c r="F64" s="102" t="n"/>
      <c r="G64" s="102" t="n"/>
      <c r="H64" s="148" t="inlineStr">
        <is>
          <t>GENERAR PROPUESTA COMERCIAL</t>
        </is>
      </c>
      <c r="I64" s="105" t="n"/>
      <c r="J64" s="102" t="n"/>
      <c r="K64" s="105" t="n"/>
      <c r="L64" s="102" t="n"/>
      <c r="M64" s="105" t="n"/>
      <c r="N64" s="102" t="n"/>
      <c r="O64" s="102" t="inlineStr">
        <is>
          <t>Por Mejorar</t>
        </is>
      </c>
      <c r="P64" s="102">
        <f>A64&amp;"|"&amp;O64</f>
        <v/>
      </c>
      <c r="Q64" s="102" t="inlineStr">
        <is>
          <t>Alta</t>
        </is>
      </c>
      <c r="R64" s="102">
        <f>TRIM(tbl_BasePowerBI[[#This Row],[NOMBRE EJECUTIVO]])</f>
        <v/>
      </c>
      <c r="S64" s="102" t="n"/>
      <c r="T64" s="106" t="n"/>
      <c r="U64" s="106" t="n"/>
      <c r="V64" s="160" t="n"/>
      <c r="W64" s="307" t="n">
        <v>0</v>
      </c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  <c r="AI64" s="86" t="n"/>
      <c r="AJ64" s="86" t="n">
        <v>65</v>
      </c>
      <c r="AK64" s="102" t="n"/>
      <c r="AN64" t="inlineStr">
        <is>
          <t>Consumo Masivo</t>
        </is>
      </c>
    </row>
    <row r="65" ht="30" customFormat="1" customHeight="1" s="129">
      <c r="A65" s="102" t="inlineStr">
        <is>
          <t>N3</t>
        </is>
      </c>
      <c r="B65" s="103" t="inlineStr">
        <is>
          <t>Elsa Cortez</t>
        </is>
      </c>
      <c r="C65" s="104" t="inlineStr">
        <is>
          <t>U AREA ANDINA</t>
        </is>
      </c>
      <c r="D65" s="308" t="n">
        <v>0</v>
      </c>
      <c r="E65" s="104" t="inlineStr">
        <is>
          <t>Leads - calidad x inscripciones</t>
        </is>
      </c>
      <c r="F65" s="102" t="n"/>
      <c r="G65" s="102" t="n"/>
      <c r="H65" s="148" t="inlineStr">
        <is>
          <t>GENERAR PROPUESTA COMERCIAL</t>
        </is>
      </c>
      <c r="I65" s="105" t="n"/>
      <c r="J65" s="102" t="n"/>
      <c r="K65" s="105" t="n"/>
      <c r="L65" s="102" t="n"/>
      <c r="M65" s="105" t="n"/>
      <c r="N65" s="102" t="n"/>
      <c r="O65" s="102" t="inlineStr">
        <is>
          <t>Por Mejorar</t>
        </is>
      </c>
      <c r="P65" s="102">
        <f>A65&amp;"|"&amp;O65</f>
        <v/>
      </c>
      <c r="Q65" s="102" t="inlineStr">
        <is>
          <t>Alta</t>
        </is>
      </c>
      <c r="R65" s="102">
        <f>TRIM(tbl_BasePowerBI[[#This Row],[NOMBRE EJECUTIVO]])</f>
        <v/>
      </c>
      <c r="S65" s="102" t="n"/>
      <c r="T65" s="106" t="n"/>
      <c r="U65" s="106" t="n"/>
      <c r="V65" s="160" t="n"/>
      <c r="W65" s="307" t="n">
        <v>0</v>
      </c>
      <c r="X65" s="86" t="n"/>
      <c r="Y65" s="86" t="n"/>
      <c r="Z65" s="86" t="n"/>
      <c r="AA65" s="86" t="n"/>
      <c r="AB65" s="86" t="n"/>
      <c r="AC65" s="86" t="n"/>
      <c r="AD65" s="86" t="n"/>
      <c r="AE65" s="86" t="n"/>
      <c r="AF65" s="86" t="n"/>
      <c r="AG65" s="86" t="n"/>
      <c r="AH65" s="86" t="n"/>
      <c r="AI65" s="86" t="n"/>
      <c r="AJ65" s="86" t="n">
        <v>67</v>
      </c>
      <c r="AK65" s="102" t="n"/>
      <c r="AN65" t="inlineStr">
        <is>
          <t>Educación</t>
        </is>
      </c>
    </row>
    <row r="66" ht="30" customFormat="1" customHeight="1" s="129">
      <c r="A66" s="102" t="inlineStr">
        <is>
          <t>N3</t>
        </is>
      </c>
      <c r="B66" s="103" t="inlineStr">
        <is>
          <t>Helen Fajardo</t>
        </is>
      </c>
      <c r="C66" s="104" t="inlineStr">
        <is>
          <t>MOTAI</t>
        </is>
      </c>
      <c r="D66" s="308" t="n">
        <v>0</v>
      </c>
      <c r="E66" s="104" t="inlineStr">
        <is>
          <t>es un app para comprar Moto facil, la idea es mostrar como  es de facil adquirir su moto. Preosupesto bajo</t>
        </is>
      </c>
      <c r="F66" s="102" t="n"/>
      <c r="G66" s="102" t="n"/>
      <c r="H66" s="148" t="inlineStr">
        <is>
          <t>GENERAR PROPUESTA COMERCIAL</t>
        </is>
      </c>
      <c r="I66" s="105" t="n"/>
      <c r="J66" s="102" t="n"/>
      <c r="K66" s="105" t="n"/>
      <c r="L66" s="102" t="n"/>
      <c r="M66" s="105" t="n"/>
      <c r="N66" s="102" t="n"/>
      <c r="O66" s="102" t="inlineStr">
        <is>
          <t>Por Mejorar</t>
        </is>
      </c>
      <c r="P66" s="102">
        <f>A66&amp;"|"&amp;O66</f>
        <v/>
      </c>
      <c r="Q66" s="102" t="inlineStr">
        <is>
          <t>Alta</t>
        </is>
      </c>
      <c r="R66" s="102">
        <f>TRIM(tbl_BasePowerBI[[#This Row],[NOMBRE EJECUTIVO]])</f>
        <v/>
      </c>
      <c r="S66" s="102" t="n"/>
      <c r="T66" s="106" t="n"/>
      <c r="U66" s="106" t="n"/>
      <c r="V66" s="160" t="n"/>
      <c r="W66" s="307" t="n">
        <v>0</v>
      </c>
      <c r="X66" s="86" t="n"/>
      <c r="Y66" s="86" t="n"/>
      <c r="Z66" s="86" t="n"/>
      <c r="AA66" s="86" t="n"/>
      <c r="AB66" s="86" t="n"/>
      <c r="AC66" s="86" t="n"/>
      <c r="AD66" s="86" t="n"/>
      <c r="AE66" s="86" t="n"/>
      <c r="AF66" s="86" t="n"/>
      <c r="AG66" s="86" t="n"/>
      <c r="AH66" s="86" t="n"/>
      <c r="AI66" s="86" t="n"/>
      <c r="AJ66" s="86" t="n">
        <v>68</v>
      </c>
      <c r="AK66" s="102" t="n"/>
      <c r="AN66" t="inlineStr">
        <is>
          <t>Tecnología</t>
        </is>
      </c>
    </row>
    <row r="67" ht="30" customFormat="1" customHeight="1" s="129">
      <c r="A67" s="98" t="inlineStr">
        <is>
          <t>N3</t>
        </is>
      </c>
      <c r="B67" s="101" t="inlineStr">
        <is>
          <t>Laura Melo</t>
        </is>
      </c>
      <c r="C67" s="107" t="inlineStr">
        <is>
          <t>PARAMO</t>
        </is>
      </c>
      <c r="D67" s="305" t="n">
        <v>15000000</v>
      </c>
      <c r="E67" s="107" t="inlineStr">
        <is>
          <t>solo nos ven como radio pero hacen pauta en otro lado, necesitamos vendernos como plataforma digital</t>
        </is>
      </c>
      <c r="F67" s="98" t="n"/>
      <c r="G67" s="98" t="n"/>
      <c r="H67" s="101" t="inlineStr">
        <is>
          <t>GENERAR PROPUESTA COMERCIAL</t>
        </is>
      </c>
      <c r="I67" s="99" t="n">
        <v>100</v>
      </c>
      <c r="J67" s="98" t="inlineStr">
        <is>
          <t>Propuesta entregada</t>
        </is>
      </c>
      <c r="K67" s="99" t="n">
        <v>100</v>
      </c>
      <c r="L67" s="101" t="inlineStr">
        <is>
          <t>Realizar seguimiento a la propuesta para conocer su estado, confirmar si se concretó el cierre e identificar oportunidades de mejora.</t>
        </is>
      </c>
      <c r="M67" s="99" t="n">
        <v>50</v>
      </c>
      <c r="N67" s="98" t="n"/>
      <c r="O67" s="98" t="inlineStr">
        <is>
          <t>En seguimiento</t>
        </is>
      </c>
      <c r="P67" s="98">
        <f>A67&amp;"|"&amp;O67</f>
        <v/>
      </c>
      <c r="Q67" s="98" t="inlineStr">
        <is>
          <t>Media</t>
        </is>
      </c>
      <c r="R67" s="98">
        <f>TRIM(tbl_BasePowerBI[[#This Row],[NOMBRE EJECUTIVO]])</f>
        <v/>
      </c>
      <c r="S67" s="98" t="inlineStr">
        <is>
          <t>JULIO</t>
        </is>
      </c>
      <c r="T67" s="100" t="n">
        <v>46168</v>
      </c>
      <c r="U67" s="100" t="n">
        <v>46224</v>
      </c>
      <c r="V67" s="157" t="inlineStr">
        <is>
          <t>PROPUESTA PARAMO PRESENTA.pptx</t>
        </is>
      </c>
      <c r="W67" s="306" t="n">
        <v>15000000</v>
      </c>
      <c r="X67" s="86" t="n"/>
      <c r="Y67" s="86" t="n"/>
      <c r="Z67" s="86" t="n"/>
      <c r="AA67" s="86" t="n"/>
      <c r="AB67" s="86" t="n"/>
      <c r="AC67" s="86" t="n"/>
      <c r="AD67" s="86" t="n"/>
      <c r="AE67" s="86" t="n"/>
      <c r="AF67" s="86" t="n"/>
      <c r="AG67" s="86" t="n"/>
      <c r="AH67" s="86" t="n"/>
      <c r="AI67" s="86" t="n"/>
      <c r="AJ67" s="86" t="n">
        <v>69</v>
      </c>
      <c r="AK67" s="102" t="inlineStr">
        <is>
          <t>Juan Pablo Godoy</t>
        </is>
      </c>
      <c r="AN67" t="inlineStr">
        <is>
          <t>Otros</t>
        </is>
      </c>
    </row>
    <row r="68" ht="30" customFormat="1" customHeight="1" s="129">
      <c r="A68" s="98" t="inlineStr">
        <is>
          <t>N3</t>
        </is>
      </c>
      <c r="B68" s="98" t="inlineStr">
        <is>
          <t>Diana Andrea Rodiguez</t>
        </is>
      </c>
      <c r="C68" s="98" t="inlineStr">
        <is>
          <t>NESTOGENO</t>
        </is>
      </c>
      <c r="D68" s="305" t="n">
        <v>50000000</v>
      </c>
      <c r="E68" s="98" t="inlineStr">
        <is>
          <t>solicitud de propuesta digital a medida - FRANQUICIA MUJERES QUE TRANSFORMAN</t>
        </is>
      </c>
      <c r="F68" s="98" t="n"/>
      <c r="G68" s="98" t="n"/>
      <c r="H68" s="98" t="inlineStr">
        <is>
          <t>generar propuesta - FRANQUICIA MUJERES QUE TRANSFORMAN</t>
        </is>
      </c>
      <c r="I68" s="99" t="n">
        <v>100</v>
      </c>
      <c r="J68" s="98" t="inlineStr">
        <is>
          <t>entregar propuesta</t>
        </is>
      </c>
      <c r="K68" s="99" t="n">
        <v>100</v>
      </c>
      <c r="L68" s="98" t="inlineStr">
        <is>
          <t>POR CERRAR</t>
        </is>
      </c>
      <c r="M68" s="99" t="n">
        <v>50</v>
      </c>
      <c r="N68" s="98" t="n"/>
      <c r="O68" s="98" t="inlineStr">
        <is>
          <t>Por cerrar</t>
        </is>
      </c>
      <c r="P68" s="98">
        <f>A68&amp;"|"&amp;O68</f>
        <v/>
      </c>
      <c r="Q68" s="98" t="inlineStr">
        <is>
          <t>Media</t>
        </is>
      </c>
      <c r="R68" s="98">
        <f>TRIM(tbl_BasePowerBI[[#This Row],[NOMBRE EJECUTIVO]])</f>
        <v/>
      </c>
      <c r="S68" s="98" t="inlineStr">
        <is>
          <t>JUNIO</t>
        </is>
      </c>
      <c r="T68" s="100" t="n">
        <v>46197</v>
      </c>
      <c r="U68" s="106" t="n">
        <v>46197</v>
      </c>
      <c r="V68" s="159" t="inlineStr">
        <is>
          <t>Producto Digital - NESTOGENO - CRECIENDO JUNTAS.pptx</t>
        </is>
      </c>
      <c r="W68" s="307" t="n">
        <v>50686060</v>
      </c>
      <c r="X68" s="86" t="n"/>
      <c r="Y68" s="86" t="n"/>
      <c r="Z68" s="86" t="n"/>
      <c r="AA68" s="86" t="n"/>
      <c r="AB68" s="86" t="n"/>
      <c r="AC68" s="86" t="n"/>
      <c r="AD68" s="86" t="n"/>
      <c r="AE68" s="86" t="n"/>
      <c r="AF68" s="86" t="n"/>
      <c r="AG68" s="86" t="n"/>
      <c r="AH68" s="86" t="n"/>
      <c r="AI68" s="86" t="n"/>
      <c r="AJ68" s="86" t="n">
        <v>70</v>
      </c>
      <c r="AK68" s="102" t="inlineStr">
        <is>
          <t>Sthefanie Botello</t>
        </is>
      </c>
      <c r="AN68" t="inlineStr">
        <is>
          <t>Consumo Masivo</t>
        </is>
      </c>
    </row>
    <row r="69" ht="30" customFormat="1" customHeight="1" s="129">
      <c r="A69" s="98" t="inlineStr">
        <is>
          <t>N3</t>
        </is>
      </c>
      <c r="B69" s="98" t="inlineStr">
        <is>
          <t>Diana Andrea Rodriguez</t>
        </is>
      </c>
      <c r="C69" s="98" t="inlineStr">
        <is>
          <t>FALABELLA</t>
        </is>
      </c>
      <c r="D69" s="305" t="n">
        <v>30000000</v>
      </c>
      <c r="E69" s="101" t="inlineStr">
        <is>
          <t>DESARROLO DE PROPUESTA DIGITAL</t>
        </is>
      </c>
      <c r="F69" s="98" t="n"/>
      <c r="G69" s="98" t="n"/>
      <c r="H69" s="101" t="inlineStr">
        <is>
          <t>Entregar la propuesta digital y su valorización al ejecutivo correspondiente.</t>
        </is>
      </c>
      <c r="I69" s="99" t="n">
        <v>100</v>
      </c>
      <c r="J69" s="101" t="inlineStr">
        <is>
          <t>Realizar seguimiento a la propuesta para conocer su estado, confirmar si se concretó el cierre e identificar oportunidades de mejora.</t>
        </is>
      </c>
      <c r="K69" s="99" t="n">
        <v>100</v>
      </c>
      <c r="L69" s="98" t="n"/>
      <c r="M69" s="99" t="n"/>
      <c r="N69" s="98" t="n"/>
      <c r="O69" s="98" t="inlineStr">
        <is>
          <t>En seguimiento</t>
        </is>
      </c>
      <c r="P69" s="98">
        <f>A69&amp;"|"&amp;O69</f>
        <v/>
      </c>
      <c r="Q69" s="98" t="inlineStr">
        <is>
          <t>Media</t>
        </is>
      </c>
      <c r="R69" s="98">
        <f>TRIM(tbl_BasePowerBI[[#This Row],[NOMBRE EJECUTIVO]])</f>
        <v/>
      </c>
      <c r="S69" s="98" t="inlineStr">
        <is>
          <t>JULIO</t>
        </is>
      </c>
      <c r="T69" s="100" t="n">
        <v>46211</v>
      </c>
      <c r="U69" s="100" t="n">
        <v>46213</v>
      </c>
      <c r="V69" s="157" t="inlineStr">
        <is>
          <t>FALABELLA SHOPPING EXPERIENCE.pptx</t>
        </is>
      </c>
      <c r="W69" s="306" t="n">
        <v>30000000</v>
      </c>
      <c r="X69" s="86" t="n"/>
      <c r="Y69" s="86" t="n"/>
      <c r="Z69" s="86" t="n"/>
      <c r="AA69" s="86" t="n"/>
      <c r="AB69" s="86" t="n"/>
      <c r="AC69" s="86" t="n"/>
      <c r="AD69" s="86" t="n"/>
      <c r="AE69" s="86" t="n"/>
      <c r="AF69" s="86" t="n"/>
      <c r="AG69" s="86" t="n"/>
      <c r="AH69" s="86" t="n"/>
      <c r="AI69" s="86" t="n"/>
      <c r="AJ69" s="86" t="n">
        <v>71</v>
      </c>
      <c r="AK69" s="102" t="inlineStr">
        <is>
          <t>Sthefanie Botello</t>
        </is>
      </c>
      <c r="AN69" t="inlineStr">
        <is>
          <t>Moda</t>
        </is>
      </c>
    </row>
    <row r="70" ht="30" customFormat="1" customHeight="1" s="129">
      <c r="A70" s="113" t="inlineStr">
        <is>
          <t>N3</t>
        </is>
      </c>
      <c r="B70" s="113" t="inlineStr">
        <is>
          <t xml:space="preserve">Laura Calvera </t>
        </is>
      </c>
      <c r="C70" s="113" t="inlineStr">
        <is>
          <t>AUTONIZA</t>
        </is>
      </c>
      <c r="D70" s="313" t="n">
        <v>5000000</v>
      </c>
      <c r="E70" s="113" t="inlineStr">
        <is>
          <t>Ecosistema whatsaap</t>
        </is>
      </c>
      <c r="F70" s="113" t="n"/>
      <c r="G70" s="113" t="n"/>
      <c r="H70" s="113" t="inlineStr">
        <is>
          <t>Entregar la propuesta digital</t>
        </is>
      </c>
      <c r="I70" s="114" t="n">
        <v>100</v>
      </c>
      <c r="J70" s="113" t="inlineStr">
        <is>
          <t>Se formaliza el cierre de la venta y se da inicio al proceso de ejecución.</t>
        </is>
      </c>
      <c r="K70" s="114" t="n">
        <v>100</v>
      </c>
      <c r="L70" s="113" t="n"/>
      <c r="M70" s="114" t="n"/>
      <c r="N70" s="113" t="n"/>
      <c r="O70" s="113" t="inlineStr">
        <is>
          <t>Cerrada</t>
        </is>
      </c>
      <c r="P70" s="113">
        <f>A70&amp;"|"&amp;O70</f>
        <v/>
      </c>
      <c r="Q70" s="113" t="inlineStr">
        <is>
          <t>Baja</t>
        </is>
      </c>
      <c r="R70" s="113">
        <f>TRIM(tbl_BasePowerBI[[#This Row],[NOMBRE EJECUTIVO]])</f>
        <v/>
      </c>
      <c r="S70" s="113" t="inlineStr">
        <is>
          <t>JUNIO</t>
        </is>
      </c>
      <c r="T70" s="115" t="n">
        <v>46175</v>
      </c>
      <c r="U70" s="115" t="n">
        <v>46175</v>
      </c>
      <c r="V70" s="162" t="inlineStr">
        <is>
          <t>21-Producto_Digital_ECOSISTEMA-WHATSAPP.pptx</t>
        </is>
      </c>
      <c r="W70" s="314" t="n">
        <v>5500000</v>
      </c>
      <c r="X70" s="86" t="n"/>
      <c r="Y70" s="86" t="n"/>
      <c r="Z70" s="86" t="n"/>
      <c r="AA70" s="86" t="n"/>
      <c r="AB70" s="86" t="n"/>
      <c r="AC70" s="86" t="n"/>
      <c r="AD70" s="86" t="n"/>
      <c r="AE70" s="86" t="n"/>
      <c r="AF70" s="86" t="n"/>
      <c r="AG70" s="86" t="n"/>
      <c r="AH70" s="86" t="n"/>
      <c r="AI70" s="86" t="n"/>
      <c r="AJ70" s="86" t="n">
        <v>72</v>
      </c>
      <c r="AK70" s="102" t="inlineStr">
        <is>
          <t>Sthefanie Botello</t>
        </is>
      </c>
      <c r="AN70" t="inlineStr">
        <is>
          <t>Automotriz</t>
        </is>
      </c>
    </row>
    <row r="71" ht="30" customFormat="1" customHeight="1" s="129">
      <c r="A71" s="98" t="inlineStr">
        <is>
          <t>N3</t>
        </is>
      </c>
      <c r="B71" s="98" t="inlineStr">
        <is>
          <t>Diana Andrea Rodriguez</t>
        </is>
      </c>
      <c r="C71" s="98" t="inlineStr">
        <is>
          <t>CORONA</t>
        </is>
      </c>
      <c r="D71" s="305" t="n">
        <v>40000000</v>
      </c>
      <c r="E71" s="98" t="inlineStr">
        <is>
          <t>PROPUESTA DE FRANQUICIA CÁPSULAS DE VIDEO CON CHECK IN</t>
        </is>
      </c>
      <c r="F71" s="98" t="n"/>
      <c r="G71" s="98" t="n"/>
      <c r="H71" s="101" t="inlineStr">
        <is>
          <t>GENERAR PROPUESTA COMERCIAL</t>
        </is>
      </c>
      <c r="I71" s="99" t="n">
        <v>100</v>
      </c>
      <c r="J71" s="101" t="inlineStr">
        <is>
          <t>Realizar seguimiento a la propuesta para conocer su estado, confirmar si se concretó el cierre e identificar oportunidades de mejora.</t>
        </is>
      </c>
      <c r="K71" s="99" t="n">
        <v>100</v>
      </c>
      <c r="L71" s="98" t="inlineStr">
        <is>
          <t>SIN CAMBIOS</t>
        </is>
      </c>
      <c r="M71" s="99" t="n">
        <v>50</v>
      </c>
      <c r="N71" s="98" t="n"/>
      <c r="O71" s="98" t="inlineStr">
        <is>
          <t>En seguimiento</t>
        </is>
      </c>
      <c r="P71" s="98">
        <f>A71&amp;"|"&amp;O71</f>
        <v/>
      </c>
      <c r="Q71" s="98" t="inlineStr">
        <is>
          <t>Baja</t>
        </is>
      </c>
      <c r="R71" s="98">
        <f>TRIM(tbl_BasePowerBI[[#This Row],[NOMBRE EJECUTIVO]])</f>
        <v/>
      </c>
      <c r="S71" s="98" t="inlineStr">
        <is>
          <t>JUNIO</t>
        </is>
      </c>
      <c r="T71" s="100" t="n"/>
      <c r="U71" s="106" t="n">
        <v>46197</v>
      </c>
      <c r="V71" s="159" t="inlineStr">
        <is>
          <t>PRODUCTO DIGITAL - CERVEZA CORONA.pptx</t>
        </is>
      </c>
      <c r="W71" s="307" t="n">
        <v>40000000</v>
      </c>
      <c r="X71" s="86" t="n"/>
      <c r="Y71" s="86" t="n"/>
      <c r="Z71" s="86" t="n"/>
      <c r="AA71" s="86" t="n"/>
      <c r="AB71" s="86" t="n"/>
      <c r="AC71" s="86" t="n"/>
      <c r="AD71" s="86" t="n"/>
      <c r="AE71" s="86" t="n"/>
      <c r="AF71" s="86" t="n"/>
      <c r="AG71" s="86" t="n"/>
      <c r="AH71" s="86" t="n"/>
      <c r="AI71" s="86" t="n"/>
      <c r="AJ71" s="86" t="n">
        <v>73</v>
      </c>
      <c r="AK71" s="102" t="inlineStr">
        <is>
          <t>Sthefanie Botello</t>
        </is>
      </c>
      <c r="AN71" t="inlineStr">
        <is>
          <t>Consumo Masivo</t>
        </is>
      </c>
    </row>
    <row r="72" ht="30" customFormat="1" customHeight="1" s="129">
      <c r="A72" s="102" t="inlineStr">
        <is>
          <t>N3</t>
        </is>
      </c>
      <c r="B72" s="103" t="inlineStr">
        <is>
          <t>Nicole Hincapie</t>
        </is>
      </c>
      <c r="C72" s="104" t="inlineStr">
        <is>
          <t>RAPPI</t>
        </is>
      </c>
      <c r="D72" s="308" t="n">
        <v>0</v>
      </c>
      <c r="E72" s="104" t="inlineStr">
        <is>
          <t>necesitan incrementar su ticket diario</t>
        </is>
      </c>
      <c r="F72" s="102" t="n"/>
      <c r="G72" s="102" t="n"/>
      <c r="H72" s="148" t="inlineStr">
        <is>
          <t>GENERAR PROPUESTA COMERCIAL</t>
        </is>
      </c>
      <c r="I72" s="105" t="n">
        <v>0</v>
      </c>
      <c r="J72" s="102" t="n"/>
      <c r="K72" s="105" t="n"/>
      <c r="L72" s="102" t="n"/>
      <c r="M72" s="105" t="n"/>
      <c r="N72" s="102" t="n"/>
      <c r="O72" s="102" t="inlineStr">
        <is>
          <t>Por Mejorar</t>
        </is>
      </c>
      <c r="P72" s="102">
        <f>A72&amp;"|"&amp;O72</f>
        <v/>
      </c>
      <c r="Q72" s="102" t="inlineStr">
        <is>
          <t>Alta</t>
        </is>
      </c>
      <c r="R72" s="102">
        <f>TRIM(tbl_BasePowerBI[[#This Row],[NOMBRE EJECUTIVO]])</f>
        <v/>
      </c>
      <c r="S72" s="102" t="n"/>
      <c r="T72" s="106" t="n"/>
      <c r="U72" s="106" t="n"/>
      <c r="V72" s="160" t="n"/>
      <c r="W72" s="307" t="n">
        <v>0</v>
      </c>
      <c r="X72" s="86" t="n"/>
      <c r="Y72" s="86" t="n"/>
      <c r="Z72" s="86" t="n"/>
      <c r="AA72" s="86" t="n"/>
      <c r="AB72" s="86" t="n"/>
      <c r="AC72" s="86" t="n"/>
      <c r="AD72" s="86" t="n"/>
      <c r="AE72" s="86" t="n"/>
      <c r="AF72" s="86" t="n"/>
      <c r="AG72" s="86" t="n"/>
      <c r="AH72" s="86" t="n"/>
      <c r="AI72" s="86" t="n"/>
      <c r="AJ72" s="86" t="n">
        <v>74</v>
      </c>
      <c r="AK72" s="102" t="n"/>
      <c r="AN72" t="inlineStr">
        <is>
          <t>Tecnología</t>
        </is>
      </c>
    </row>
    <row r="73" ht="30" customFormat="1" customHeight="1" s="129">
      <c r="A73" s="102" t="inlineStr">
        <is>
          <t>N3</t>
        </is>
      </c>
      <c r="B73" s="103" t="inlineStr">
        <is>
          <t>Nicole Hincapie</t>
        </is>
      </c>
      <c r="C73" s="104" t="inlineStr">
        <is>
          <t>CONSTRUCTORAS PLANIFICADAS</t>
        </is>
      </c>
      <c r="D73" s="308" t="n">
        <v>0</v>
      </c>
      <c r="E73" s="104" t="inlineStr">
        <is>
          <t>con que estrategia podriamos dar a conocer más a fondo los proyectos inmobiliarios que tienen</t>
        </is>
      </c>
      <c r="F73" s="102" t="n"/>
      <c r="G73" s="102" t="n"/>
      <c r="H73" s="148" t="inlineStr">
        <is>
          <t>GENERAR PROPUESTA COMERCIAL</t>
        </is>
      </c>
      <c r="I73" s="105" t="n">
        <v>0</v>
      </c>
      <c r="J73" s="102" t="n"/>
      <c r="K73" s="105" t="n"/>
      <c r="L73" s="102" t="n"/>
      <c r="M73" s="105" t="n"/>
      <c r="N73" s="102" t="n"/>
      <c r="O73" s="102" t="inlineStr">
        <is>
          <t>Por Mejorar</t>
        </is>
      </c>
      <c r="P73" s="102">
        <f>A73&amp;"|"&amp;O73</f>
        <v/>
      </c>
      <c r="Q73" s="102" t="inlineStr">
        <is>
          <t>Alta</t>
        </is>
      </c>
      <c r="R73" s="102">
        <f>TRIM(tbl_BasePowerBI[[#This Row],[NOMBRE EJECUTIVO]])</f>
        <v/>
      </c>
      <c r="S73" s="102" t="n"/>
      <c r="T73" s="106" t="n"/>
      <c r="U73" s="106" t="n"/>
      <c r="V73" s="160" t="n"/>
      <c r="W73" s="307" t="n">
        <v>0</v>
      </c>
      <c r="X73" s="86" t="n"/>
      <c r="Y73" s="86" t="n"/>
      <c r="Z73" s="86" t="n"/>
      <c r="AA73" s="86" t="n"/>
      <c r="AB73" s="86" t="n"/>
      <c r="AC73" s="86" t="n"/>
      <c r="AD73" s="86" t="n"/>
      <c r="AE73" s="86" t="n"/>
      <c r="AF73" s="86" t="n"/>
      <c r="AG73" s="86" t="n"/>
      <c r="AH73" s="86" t="n"/>
      <c r="AI73" s="86" t="n"/>
      <c r="AJ73" s="86" t="n">
        <v>76</v>
      </c>
      <c r="AK73" s="102" t="n"/>
      <c r="AN73" t="inlineStr">
        <is>
          <t>Inmobiliario</t>
        </is>
      </c>
    </row>
    <row r="74" ht="30" customFormat="1" customHeight="1" s="129">
      <c r="A74" s="102" t="inlineStr">
        <is>
          <t>N3</t>
        </is>
      </c>
      <c r="B74" s="103" t="inlineStr">
        <is>
          <t>Nicole Hincapie</t>
        </is>
      </c>
      <c r="C74" s="104" t="inlineStr">
        <is>
          <t>BANCO DE OCCIDENTE</t>
        </is>
      </c>
      <c r="D74" s="308" t="n">
        <v>0</v>
      </c>
      <c r="E74" s="104" t="inlineStr">
        <is>
          <t>llevan mas de un año sin comprar. Cuenta de ahorros que renta, inversion colombianos</t>
        </is>
      </c>
      <c r="F74" s="102" t="n"/>
      <c r="G74" s="102" t="n"/>
      <c r="H74" s="148" t="inlineStr">
        <is>
          <t>GENERAR PROPUESTA COMERCIAL</t>
        </is>
      </c>
      <c r="I74" s="105" t="n">
        <v>0</v>
      </c>
      <c r="J74" s="102" t="n"/>
      <c r="K74" s="105" t="n"/>
      <c r="L74" s="102" t="n"/>
      <c r="M74" s="105" t="n"/>
      <c r="N74" s="102" t="n"/>
      <c r="O74" s="102" t="inlineStr">
        <is>
          <t>Por Mejorar</t>
        </is>
      </c>
      <c r="P74" s="102">
        <f>A74&amp;"|"&amp;O74</f>
        <v/>
      </c>
      <c r="Q74" s="102" t="inlineStr">
        <is>
          <t>Alta</t>
        </is>
      </c>
      <c r="R74" s="102">
        <f>TRIM(tbl_BasePowerBI[[#This Row],[NOMBRE EJECUTIVO]])</f>
        <v/>
      </c>
      <c r="S74" s="102" t="n"/>
      <c r="T74" s="106" t="n"/>
      <c r="U74" s="106" t="n"/>
      <c r="V74" s="160" t="n"/>
      <c r="W74" s="307" t="n">
        <v>0</v>
      </c>
      <c r="X74" s="86" t="n"/>
      <c r="Y74" s="86" t="n"/>
      <c r="Z74" s="86" t="n"/>
      <c r="AA74" s="86" t="n"/>
      <c r="AB74" s="86" t="n"/>
      <c r="AC74" s="86" t="n"/>
      <c r="AD74" s="86" t="n"/>
      <c r="AE74" s="86" t="n"/>
      <c r="AF74" s="86" t="n"/>
      <c r="AG74" s="86" t="n"/>
      <c r="AH74" s="86" t="n"/>
      <c r="AI74" s="86" t="n"/>
      <c r="AJ74" s="86" t="n">
        <v>77</v>
      </c>
      <c r="AK74" s="102" t="n"/>
      <c r="AL74" s="126" t="n"/>
      <c r="AN74" t="inlineStr">
        <is>
          <t>Banca</t>
        </is>
      </c>
    </row>
    <row r="75" ht="30" customFormat="1" customHeight="1" s="129">
      <c r="A75" s="102" t="inlineStr">
        <is>
          <t>N4</t>
        </is>
      </c>
      <c r="B75" s="102" t="inlineStr">
        <is>
          <t>Gina Tinjacá</t>
        </is>
      </c>
      <c r="C75" s="104" t="inlineStr">
        <is>
          <t>MEDPLUS</t>
        </is>
      </c>
      <c r="D75" s="308" t="n">
        <v>0</v>
      </c>
      <c r="E75" s="104" t="inlineStr">
        <is>
          <t>Fortalecer el posicionamiento de la marca aprovechando el aniversario de Clínica Azul.</t>
        </is>
      </c>
      <c r="F75" s="102" t="n"/>
      <c r="G75" s="102" t="n"/>
      <c r="H75" s="103" t="inlineStr">
        <is>
          <t>GENERAR PROPUESTA COMERCIAL</t>
        </is>
      </c>
      <c r="I75" s="105" t="n">
        <v>0</v>
      </c>
      <c r="J75" s="102" t="n"/>
      <c r="K75" s="105" t="n"/>
      <c r="L75" s="102" t="n"/>
      <c r="M75" s="105" t="n"/>
      <c r="N75" s="102" t="n"/>
      <c r="O75" s="102" t="inlineStr">
        <is>
          <t>Por Mejorar</t>
        </is>
      </c>
      <c r="P75" s="102">
        <f>A75&amp;"|"&amp;O75</f>
        <v/>
      </c>
      <c r="Q75" s="102" t="inlineStr">
        <is>
          <t>Alta</t>
        </is>
      </c>
      <c r="R75" s="102">
        <f>TRIM(tbl_BasePowerBI[[#This Row],[NOMBRE EJECUTIVO]])</f>
        <v/>
      </c>
      <c r="S75" s="102" t="n"/>
      <c r="T75" s="106" t="n"/>
      <c r="U75" s="106" t="n"/>
      <c r="V75" s="160" t="n"/>
      <c r="W75" s="307" t="n">
        <v>0</v>
      </c>
      <c r="X75" s="86" t="n"/>
      <c r="Y75" s="86" t="n"/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  <c r="AI75" s="86" t="n"/>
      <c r="AJ75" s="86" t="n">
        <v>78</v>
      </c>
      <c r="AK75" s="102" t="n"/>
      <c r="AN75" t="inlineStr">
        <is>
          <t>Salud</t>
        </is>
      </c>
    </row>
    <row r="76" ht="30" customFormat="1" customHeight="1" s="129">
      <c r="A76" s="102" t="inlineStr">
        <is>
          <t>N4</t>
        </is>
      </c>
      <c r="B76" s="102" t="inlineStr">
        <is>
          <t>Gina Tinjacá</t>
        </is>
      </c>
      <c r="C76" s="104" t="inlineStr">
        <is>
          <t>WIN SPORTS</t>
        </is>
      </c>
      <c r="D76" s="308" t="n">
        <v>0</v>
      </c>
      <c r="E76" s="104" t="inlineStr">
        <is>
          <t>Aumentar audiencias y suscripciones entre hinchas colombianos en el exterior.</t>
        </is>
      </c>
      <c r="F76" s="102" t="n"/>
      <c r="G76" s="102" t="n"/>
      <c r="H76" s="103" t="inlineStr">
        <is>
          <t>GENERAR PROPUESTA COMERCIAL</t>
        </is>
      </c>
      <c r="I76" s="105" t="n">
        <v>0</v>
      </c>
      <c r="J76" s="102" t="n"/>
      <c r="K76" s="105" t="n"/>
      <c r="L76" s="102" t="n"/>
      <c r="M76" s="105" t="n"/>
      <c r="N76" s="102" t="n"/>
      <c r="O76" s="102" t="inlineStr">
        <is>
          <t>Por Mejorar</t>
        </is>
      </c>
      <c r="P76" s="102">
        <f>A76&amp;"|"&amp;O76</f>
        <v/>
      </c>
      <c r="Q76" s="102" t="inlineStr">
        <is>
          <t>Alta</t>
        </is>
      </c>
      <c r="R76" s="102">
        <f>TRIM(tbl_BasePowerBI[[#This Row],[NOMBRE EJECUTIVO]])</f>
        <v/>
      </c>
      <c r="S76" s="102" t="n"/>
      <c r="T76" s="106" t="n"/>
      <c r="U76" s="106" t="n"/>
      <c r="V76" s="160" t="n"/>
      <c r="W76" s="307" t="n">
        <v>0</v>
      </c>
      <c r="X76" s="86" t="n"/>
      <c r="Y76" s="86" t="n"/>
      <c r="Z76" s="86" t="n"/>
      <c r="AA76" s="86" t="n"/>
      <c r="AB76" s="86" t="n"/>
      <c r="AC76" s="86" t="n"/>
      <c r="AD76" s="86" t="n"/>
      <c r="AE76" s="86" t="n"/>
      <c r="AF76" s="86" t="n"/>
      <c r="AG76" s="86" t="n"/>
      <c r="AH76" s="86" t="n"/>
      <c r="AI76" s="86" t="n"/>
      <c r="AJ76" s="86" t="n">
        <v>79</v>
      </c>
      <c r="AK76" s="102" t="n"/>
      <c r="AL76" s="126" t="n"/>
      <c r="AN76" t="inlineStr">
        <is>
          <t>Entretenimiento</t>
        </is>
      </c>
    </row>
    <row r="77" ht="30" customFormat="1" customHeight="1" s="129">
      <c r="A77" s="102" t="inlineStr">
        <is>
          <t>N4</t>
        </is>
      </c>
      <c r="B77" s="102" t="inlineStr">
        <is>
          <t>Karen Perez</t>
        </is>
      </c>
      <c r="C77" s="104" t="inlineStr">
        <is>
          <t>UNAD</t>
        </is>
      </c>
      <c r="D77" s="308" t="n">
        <v>0</v>
      </c>
      <c r="E77" s="104" t="inlineStr">
        <is>
          <t>Atraer nuevos estudiantes en periodos de inscripción destacando flexibilidad, cobertura y accesibilidad.</t>
        </is>
      </c>
      <c r="F77" s="102" t="n"/>
      <c r="G77" s="102" t="n"/>
      <c r="H77" s="103" t="inlineStr">
        <is>
          <t>GENERAR PROPUESTA COMERCIAL</t>
        </is>
      </c>
      <c r="I77" s="105" t="n">
        <v>0</v>
      </c>
      <c r="J77" s="102" t="n"/>
      <c r="K77" s="105" t="n"/>
      <c r="L77" s="102" t="n"/>
      <c r="M77" s="105" t="n"/>
      <c r="N77" s="102" t="n"/>
      <c r="O77" s="102" t="inlineStr">
        <is>
          <t>Por Mejorar</t>
        </is>
      </c>
      <c r="P77" s="102">
        <f>A77&amp;"|"&amp;O77</f>
        <v/>
      </c>
      <c r="Q77" s="102" t="inlineStr">
        <is>
          <t>Alta</t>
        </is>
      </c>
      <c r="R77" s="102">
        <f>TRIM(tbl_BasePowerBI[[#This Row],[NOMBRE EJECUTIVO]])</f>
        <v/>
      </c>
      <c r="S77" s="102" t="n"/>
      <c r="T77" s="106" t="n"/>
      <c r="U77" s="106" t="n"/>
      <c r="V77" s="160" t="n"/>
      <c r="W77" s="307" t="n">
        <v>0</v>
      </c>
      <c r="X77" s="86" t="n"/>
      <c r="Y77" s="86" t="n"/>
      <c r="Z77" s="86" t="n"/>
      <c r="AA77" s="86" t="n"/>
      <c r="AB77" s="86" t="n"/>
      <c r="AC77" s="86" t="n"/>
      <c r="AD77" s="86" t="n"/>
      <c r="AE77" s="86" t="n"/>
      <c r="AF77" s="86" t="n"/>
      <c r="AG77" s="86" t="n"/>
      <c r="AH77" s="86" t="n"/>
      <c r="AI77" s="86" t="n"/>
      <c r="AJ77" s="86" t="n">
        <v>80</v>
      </c>
      <c r="AK77" s="102" t="n"/>
      <c r="AL77" s="126" t="n"/>
      <c r="AN77" t="inlineStr">
        <is>
          <t>Educación</t>
        </is>
      </c>
    </row>
    <row r="78" ht="30" customFormat="1" customHeight="1" s="129">
      <c r="A78" s="102" t="inlineStr">
        <is>
          <t>N4</t>
        </is>
      </c>
      <c r="B78" s="102" t="inlineStr">
        <is>
          <t>Valentina Párraga</t>
        </is>
      </c>
      <c r="C78" s="104" t="inlineStr">
        <is>
          <t>GAES</t>
        </is>
      </c>
      <c r="D78" s="308" t="n">
        <v>0</v>
      </c>
      <c r="E78" s="104" t="inlineStr">
        <is>
          <t>Desarrollar campañas de sensibilización sobre pérdida auditiva y promover soluciones de bienestar e inclusión.</t>
        </is>
      </c>
      <c r="F78" s="102" t="n"/>
      <c r="G78" s="102" t="n"/>
      <c r="H78" s="103" t="inlineStr">
        <is>
          <t>GENERAR PROPUESTA COMERCIAL</t>
        </is>
      </c>
      <c r="I78" s="105" t="n">
        <v>0</v>
      </c>
      <c r="J78" s="102" t="n"/>
      <c r="K78" s="105" t="n"/>
      <c r="L78" s="102" t="n"/>
      <c r="M78" s="105" t="n"/>
      <c r="N78" s="102" t="n"/>
      <c r="O78" s="102" t="inlineStr">
        <is>
          <t>Por Mejorar</t>
        </is>
      </c>
      <c r="P78" s="102">
        <f>A78&amp;"|"&amp;O78</f>
        <v/>
      </c>
      <c r="Q78" s="102" t="inlineStr">
        <is>
          <t>Alta</t>
        </is>
      </c>
      <c r="R78" s="102">
        <f>TRIM(tbl_BasePowerBI[[#This Row],[NOMBRE EJECUTIVO]])</f>
        <v/>
      </c>
      <c r="S78" s="102" t="n"/>
      <c r="T78" s="106" t="n"/>
      <c r="U78" s="106" t="n"/>
      <c r="V78" s="160" t="n"/>
      <c r="W78" s="307" t="n">
        <v>0</v>
      </c>
      <c r="X78" s="86" t="n"/>
      <c r="Y78" s="86" t="n"/>
      <c r="Z78" s="86" t="n"/>
      <c r="AA78" s="86" t="n"/>
      <c r="AB78" s="86" t="n"/>
      <c r="AC78" s="86" t="n"/>
      <c r="AD78" s="86" t="n"/>
      <c r="AE78" s="86" t="n"/>
      <c r="AF78" s="86" t="n"/>
      <c r="AG78" s="86" t="n"/>
      <c r="AH78" s="86" t="n"/>
      <c r="AI78" s="86" t="n"/>
      <c r="AJ78" s="86" t="n">
        <v>81</v>
      </c>
      <c r="AK78" s="102" t="n"/>
      <c r="AN78" t="inlineStr">
        <is>
          <t>Salud</t>
        </is>
      </c>
    </row>
    <row r="79" ht="30" customFormat="1" customHeight="1" s="129">
      <c r="A79" s="102" t="inlineStr">
        <is>
          <t>N4</t>
        </is>
      </c>
      <c r="B79" s="102" t="inlineStr">
        <is>
          <t>Valentina Párraga</t>
        </is>
      </c>
      <c r="C79" s="104" t="inlineStr">
        <is>
          <t>BOSTON MEDICAL GROUP</t>
        </is>
      </c>
      <c r="D79" s="308" t="n">
        <v>0</v>
      </c>
      <c r="E79" s="104" t="inlineStr">
        <is>
          <t>Fortalecer el posicionamiento mediante contenidos educativos y generación de confianza.</t>
        </is>
      </c>
      <c r="F79" s="102" t="n"/>
      <c r="G79" s="102" t="n"/>
      <c r="H79" s="103" t="inlineStr">
        <is>
          <t>GENERAR PROPUESTA COMERCIAL</t>
        </is>
      </c>
      <c r="I79" s="105" t="n">
        <v>0</v>
      </c>
      <c r="J79" s="102" t="n"/>
      <c r="K79" s="105" t="n"/>
      <c r="L79" s="102" t="n"/>
      <c r="M79" s="105" t="n"/>
      <c r="N79" s="102" t="n"/>
      <c r="O79" s="102" t="inlineStr">
        <is>
          <t>Por Mejorar</t>
        </is>
      </c>
      <c r="P79" s="102">
        <f>A79&amp;"|"&amp;O79</f>
        <v/>
      </c>
      <c r="Q79" s="102" t="inlineStr">
        <is>
          <t>Alta</t>
        </is>
      </c>
      <c r="R79" s="102">
        <f>TRIM(tbl_BasePowerBI[[#This Row],[NOMBRE EJECUTIVO]])</f>
        <v/>
      </c>
      <c r="S79" s="102" t="n"/>
      <c r="T79" s="106" t="n"/>
      <c r="U79" s="106" t="n"/>
      <c r="V79" s="160" t="n"/>
      <c r="W79" s="307" t="n">
        <v>0</v>
      </c>
      <c r="X79" s="86" t="n"/>
      <c r="Y79" s="86" t="n"/>
      <c r="Z79" s="86" t="n"/>
      <c r="AA79" s="86" t="n"/>
      <c r="AB79" s="86" t="n"/>
      <c r="AC79" s="86" t="n"/>
      <c r="AD79" s="86" t="n"/>
      <c r="AE79" s="86" t="n"/>
      <c r="AF79" s="86" t="n"/>
      <c r="AG79" s="86" t="n"/>
      <c r="AH79" s="86" t="n"/>
      <c r="AI79" s="86" t="n"/>
      <c r="AJ79" s="86" t="n">
        <v>84</v>
      </c>
      <c r="AK79" s="102" t="n"/>
      <c r="AN79" t="inlineStr">
        <is>
          <t>Salud</t>
        </is>
      </c>
    </row>
    <row r="80" ht="30" customFormat="1" customHeight="1" s="129">
      <c r="A80" s="102" t="inlineStr">
        <is>
          <t>N4</t>
        </is>
      </c>
      <c r="B80" s="102" t="inlineStr">
        <is>
          <t>Mauricio Agudelo</t>
        </is>
      </c>
      <c r="C80" s="104" t="inlineStr">
        <is>
          <t>LEVAPAN</t>
        </is>
      </c>
      <c r="D80" s="308" t="n">
        <v>0</v>
      </c>
      <c r="E80" s="104" t="inlineStr">
        <is>
          <t>Incrementar reconocimiento de marca y preferencia entre profesionales y emprendedores del sector alimentario.</t>
        </is>
      </c>
      <c r="F80" s="102" t="n"/>
      <c r="G80" s="102" t="n"/>
      <c r="H80" s="103" t="inlineStr">
        <is>
          <t>GENERAR PROPUESTA COMERCIAL</t>
        </is>
      </c>
      <c r="I80" s="105" t="n">
        <v>0</v>
      </c>
      <c r="J80" s="102" t="n"/>
      <c r="K80" s="105" t="n"/>
      <c r="L80" s="102" t="n"/>
      <c r="M80" s="105" t="n"/>
      <c r="N80" s="102" t="n"/>
      <c r="O80" s="102" t="inlineStr">
        <is>
          <t>Por Mejorar</t>
        </is>
      </c>
      <c r="P80" s="102">
        <f>A80&amp;"|"&amp;O80</f>
        <v/>
      </c>
      <c r="Q80" s="102" t="inlineStr">
        <is>
          <t>Alta</t>
        </is>
      </c>
      <c r="R80" s="102">
        <f>TRIM(tbl_BasePowerBI[[#This Row],[NOMBRE EJECUTIVO]])</f>
        <v/>
      </c>
      <c r="S80" s="102" t="n"/>
      <c r="T80" s="106" t="n"/>
      <c r="U80" s="106" t="n"/>
      <c r="V80" s="160" t="n"/>
      <c r="W80" s="307" t="n">
        <v>0</v>
      </c>
      <c r="X80" s="86" t="n"/>
      <c r="Y80" s="86" t="n"/>
      <c r="Z80" s="86" t="n"/>
      <c r="AA80" s="86" t="n"/>
      <c r="AB80" s="86" t="n"/>
      <c r="AC80" s="86" t="n"/>
      <c r="AD80" s="86" t="n"/>
      <c r="AE80" s="86" t="n"/>
      <c r="AF80" s="86" t="n"/>
      <c r="AG80" s="86" t="n"/>
      <c r="AH80" s="86" t="n"/>
      <c r="AI80" s="86" t="n"/>
      <c r="AJ80" s="86" t="n">
        <v>85</v>
      </c>
      <c r="AK80" s="102" t="n"/>
      <c r="AN80" t="inlineStr">
        <is>
          <t>Consumo Masivo</t>
        </is>
      </c>
    </row>
    <row r="81" ht="30" customFormat="1" customHeight="1" s="129">
      <c r="A81" s="102" t="inlineStr">
        <is>
          <t>N4</t>
        </is>
      </c>
      <c r="B81" s="102" t="inlineStr">
        <is>
          <t>Mauricio Agudelo</t>
        </is>
      </c>
      <c r="C81" s="104" t="inlineStr">
        <is>
          <t>FUNDACIÓN CARDIO INFANTIL</t>
        </is>
      </c>
      <c r="D81" s="308" t="n">
        <v>0</v>
      </c>
      <c r="E81" s="104" t="inlineStr">
        <is>
          <t>Fortalecer el posicionamiento institucional y visibilizar su impacto social.</t>
        </is>
      </c>
      <c r="F81" s="102" t="n"/>
      <c r="G81" s="102" t="n"/>
      <c r="H81" s="103" t="inlineStr">
        <is>
          <t>GENERAR PROPUESTA COMERCIAL</t>
        </is>
      </c>
      <c r="I81" s="105" t="n">
        <v>0</v>
      </c>
      <c r="J81" s="102" t="n"/>
      <c r="K81" s="105" t="n"/>
      <c r="L81" s="102" t="n"/>
      <c r="M81" s="105" t="n"/>
      <c r="N81" s="102" t="n"/>
      <c r="O81" s="102" t="inlineStr">
        <is>
          <t>Por Mejorar</t>
        </is>
      </c>
      <c r="P81" s="102">
        <f>A81&amp;"|"&amp;O81</f>
        <v/>
      </c>
      <c r="Q81" s="102" t="inlineStr">
        <is>
          <t>Alta</t>
        </is>
      </c>
      <c r="R81" s="102">
        <f>TRIM(tbl_BasePowerBI[[#This Row],[NOMBRE EJECUTIVO]])</f>
        <v/>
      </c>
      <c r="S81" s="102" t="n"/>
      <c r="T81" s="106" t="n"/>
      <c r="U81" s="106" t="n"/>
      <c r="V81" s="160" t="n"/>
      <c r="W81" s="307" t="n">
        <v>0</v>
      </c>
      <c r="X81" s="86" t="n"/>
      <c r="Y81" s="86" t="n"/>
      <c r="Z81" s="86" t="n"/>
      <c r="AA81" s="86" t="n"/>
      <c r="AB81" s="86" t="n"/>
      <c r="AC81" s="86" t="n"/>
      <c r="AD81" s="86" t="n"/>
      <c r="AE81" s="86" t="n"/>
      <c r="AF81" s="86" t="n"/>
      <c r="AG81" s="86" t="n"/>
      <c r="AH81" s="86" t="n"/>
      <c r="AI81" s="86" t="n"/>
      <c r="AJ81" s="86" t="n">
        <v>86</v>
      </c>
      <c r="AK81" s="102" t="n"/>
      <c r="AN81" t="inlineStr">
        <is>
          <t>Salud</t>
        </is>
      </c>
    </row>
    <row r="82" ht="30" customFormat="1" customHeight="1" s="129">
      <c r="A82" s="102" t="inlineStr">
        <is>
          <t>N4</t>
        </is>
      </c>
      <c r="B82" s="102" t="inlineStr">
        <is>
          <t>Gina Tinjacá</t>
        </is>
      </c>
      <c r="C82" s="104" t="inlineStr">
        <is>
          <t>URBANSA</t>
        </is>
      </c>
      <c r="D82" s="308" t="n">
        <v>0</v>
      </c>
      <c r="E82" s="104" t="inlineStr">
        <is>
          <t>Generar clientes potenciales para proyectos de vivienda VIS y No VIS.</t>
        </is>
      </c>
      <c r="F82" s="102" t="n"/>
      <c r="G82" s="102" t="n"/>
      <c r="H82" s="103" t="inlineStr">
        <is>
          <t>GENERAR PROPUESTA COMERCIAL</t>
        </is>
      </c>
      <c r="I82" s="105" t="n">
        <v>0</v>
      </c>
      <c r="J82" s="102" t="n"/>
      <c r="K82" s="105" t="n"/>
      <c r="L82" s="102" t="n"/>
      <c r="M82" s="105" t="n"/>
      <c r="N82" s="102" t="n"/>
      <c r="O82" s="102" t="inlineStr">
        <is>
          <t>Por Mejorar</t>
        </is>
      </c>
      <c r="P82" s="102">
        <f>A82&amp;"|"&amp;O82</f>
        <v/>
      </c>
      <c r="Q82" s="102" t="inlineStr">
        <is>
          <t>Alta</t>
        </is>
      </c>
      <c r="R82" s="102">
        <f>TRIM(tbl_BasePowerBI[[#This Row],[NOMBRE EJECUTIVO]])</f>
        <v/>
      </c>
      <c r="S82" s="102" t="n"/>
      <c r="T82" s="106" t="n"/>
      <c r="U82" s="106" t="n"/>
      <c r="V82" s="160" t="n"/>
      <c r="W82" s="307" t="n">
        <v>0</v>
      </c>
      <c r="X82" s="86" t="n"/>
      <c r="Y82" s="86" t="n"/>
      <c r="Z82" s="86" t="n"/>
      <c r="AA82" s="86" t="n"/>
      <c r="AB82" s="86" t="n"/>
      <c r="AC82" s="86" t="n"/>
      <c r="AD82" s="86" t="n"/>
      <c r="AE82" s="86" t="n"/>
      <c r="AF82" s="86" t="n"/>
      <c r="AG82" s="86" t="n"/>
      <c r="AH82" s="86" t="n"/>
      <c r="AI82" s="86" t="n"/>
      <c r="AJ82" s="86" t="n">
        <v>87</v>
      </c>
      <c r="AK82" s="102" t="n"/>
      <c r="AN82" t="inlineStr">
        <is>
          <t>Inmobiliario</t>
        </is>
      </c>
    </row>
    <row r="83" ht="30" customFormat="1" customHeight="1" s="129">
      <c r="A83" s="102" t="inlineStr">
        <is>
          <t>N4</t>
        </is>
      </c>
      <c r="B83" s="102" t="inlineStr">
        <is>
          <t>Valentina Párraga</t>
        </is>
      </c>
      <c r="C83" s="104" t="inlineStr">
        <is>
          <t>MASTERCARD</t>
        </is>
      </c>
      <c r="D83" s="308" t="n">
        <v>0</v>
      </c>
      <c r="E83" s="104" t="inlineStr">
        <is>
          <t>Impulsar la adopción de medios de pago digitales, educación financiera e inclusión digital.</t>
        </is>
      </c>
      <c r="F83" s="102" t="n"/>
      <c r="G83" s="102" t="n"/>
      <c r="H83" s="103" t="inlineStr">
        <is>
          <t>GENERAR PROPUESTA COMERCIAL</t>
        </is>
      </c>
      <c r="I83" s="105" t="n">
        <v>0</v>
      </c>
      <c r="J83" s="102" t="n"/>
      <c r="K83" s="105" t="n"/>
      <c r="L83" s="102" t="n"/>
      <c r="M83" s="105" t="n"/>
      <c r="N83" s="102" t="n"/>
      <c r="O83" s="102" t="inlineStr">
        <is>
          <t>Por Mejorar</t>
        </is>
      </c>
      <c r="P83" s="102">
        <f>A83&amp;"|"&amp;O83</f>
        <v/>
      </c>
      <c r="Q83" s="102" t="inlineStr">
        <is>
          <t>Alta</t>
        </is>
      </c>
      <c r="R83" s="102">
        <f>TRIM(tbl_BasePowerBI[[#This Row],[NOMBRE EJECUTIVO]])</f>
        <v/>
      </c>
      <c r="S83" s="102" t="n"/>
      <c r="T83" s="106" t="n"/>
      <c r="U83" s="106" t="n"/>
      <c r="V83" s="160" t="n"/>
      <c r="W83" s="307" t="n">
        <v>0</v>
      </c>
      <c r="X83" s="86" t="n"/>
      <c r="Y83" s="86" t="n"/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  <c r="AI83" s="86" t="n"/>
      <c r="AJ83" s="86" t="n">
        <v>88</v>
      </c>
      <c r="AK83" s="102" t="n"/>
      <c r="AN83" t="inlineStr">
        <is>
          <t>Banca</t>
        </is>
      </c>
    </row>
    <row r="84" ht="51.75" customFormat="1" customHeight="1" s="129">
      <c r="A84" s="113" t="inlineStr">
        <is>
          <t>N4</t>
        </is>
      </c>
      <c r="B84" s="113" t="inlineStr">
        <is>
          <t>Luis López</t>
        </is>
      </c>
      <c r="C84" s="113" t="inlineStr">
        <is>
          <t>SR SIMI</t>
        </is>
      </c>
      <c r="D84" s="313" t="n">
        <v>200000000</v>
      </c>
      <c r="E84" s="113" t="inlineStr">
        <is>
          <t>PROPUESTA FRANQUICIA - EL ALBÚM</t>
        </is>
      </c>
      <c r="F84" s="113" t="n"/>
      <c r="G84" s="113" t="n"/>
      <c r="H84" s="119" t="inlineStr">
        <is>
          <t>GENERAR PROPUESTA COMERCIAL</t>
        </is>
      </c>
      <c r="I84" s="114" t="n">
        <v>100</v>
      </c>
      <c r="J84" s="113" t="inlineStr">
        <is>
          <t>ENTREGAR PROPUESTA</t>
        </is>
      </c>
      <c r="K84" s="114" t="n">
        <v>100</v>
      </c>
      <c r="L84" s="117" t="inlineStr">
        <is>
          <t>SIN CAMBIOS</t>
        </is>
      </c>
      <c r="M84" s="114" t="n">
        <v>100</v>
      </c>
      <c r="N84" s="113" t="n"/>
      <c r="O84" s="113" t="inlineStr">
        <is>
          <t>Cerrada</t>
        </is>
      </c>
      <c r="P84" s="113">
        <f>A84&amp;"|"&amp;O84</f>
        <v/>
      </c>
      <c r="Q84" s="113" t="inlineStr">
        <is>
          <t>Media</t>
        </is>
      </c>
      <c r="R84" s="113">
        <f>TRIM(tbl_BasePowerBI[[#This Row],[NOMBRE EJECUTIVO]])</f>
        <v/>
      </c>
      <c r="S84" s="113" t="inlineStr">
        <is>
          <t>JUNIO</t>
        </is>
      </c>
      <c r="T84" s="115" t="n">
        <v>46189</v>
      </c>
      <c r="U84" s="115" t="n">
        <v>46213</v>
      </c>
      <c r="V84" s="164" t="inlineStr">
        <is>
          <t>https://canva.link/7gihh7hu1w85rtl</t>
        </is>
      </c>
      <c r="W84" s="314" t="n">
        <v>200000000</v>
      </c>
      <c r="X84" s="86" t="n"/>
      <c r="Y84" s="86" t="n"/>
      <c r="Z84" s="86" t="n"/>
      <c r="AA84" s="86" t="n"/>
      <c r="AB84" s="86" t="n"/>
      <c r="AC84" s="86" t="n"/>
      <c r="AD84" s="86" t="n"/>
      <c r="AE84" s="86" t="n"/>
      <c r="AF84" s="86" t="n"/>
      <c r="AG84" s="86" t="n"/>
      <c r="AH84" s="86" t="n"/>
      <c r="AI84" s="86" t="n"/>
      <c r="AJ84" s="86" t="n">
        <v>89</v>
      </c>
      <c r="AK84" s="102" t="inlineStr">
        <is>
          <t>Sthefanie Botello</t>
        </is>
      </c>
      <c r="AM84" s="315">
        <f>SUM(tbl_BasePowerBI[[#This Row],[VALOR DE LA PROPUESTA]]+W110)</f>
        <v/>
      </c>
      <c r="AN84" t="inlineStr">
        <is>
          <t>Salud</t>
        </is>
      </c>
    </row>
    <row r="85" ht="30" customFormat="1" customHeight="1" s="129">
      <c r="A85" s="102" t="inlineStr">
        <is>
          <t>N4</t>
        </is>
      </c>
      <c r="B85" s="102" t="inlineStr">
        <is>
          <t>Gina Tinjacá</t>
        </is>
      </c>
      <c r="C85" s="118" t="inlineStr">
        <is>
          <t>ALCIAUTOS</t>
        </is>
      </c>
      <c r="D85" s="308" t="n">
        <v>0</v>
      </c>
      <c r="E85" s="102" t="n"/>
      <c r="F85" s="102" t="n"/>
      <c r="G85" s="102" t="n"/>
      <c r="H85" s="148" t="inlineStr">
        <is>
          <t>GENERAR PROPUESTA COMERCIAL</t>
        </is>
      </c>
      <c r="I85" s="105" t="n"/>
      <c r="J85" s="102" t="n"/>
      <c r="K85" s="105" t="n"/>
      <c r="L85" s="102" t="n"/>
      <c r="M85" s="105" t="n"/>
      <c r="N85" s="102" t="n"/>
      <c r="O85" s="102" t="inlineStr">
        <is>
          <t>Por Mejorar</t>
        </is>
      </c>
      <c r="P85" s="102">
        <f>A85&amp;"|"&amp;O85</f>
        <v/>
      </c>
      <c r="Q85" s="102" t="inlineStr">
        <is>
          <t>Alta</t>
        </is>
      </c>
      <c r="R85" s="102">
        <f>TRIM(tbl_BasePowerBI[[#This Row],[NOMBRE EJECUTIVO]])</f>
        <v/>
      </c>
      <c r="S85" s="102" t="n"/>
      <c r="T85" s="106" t="n"/>
      <c r="U85" s="106" t="n"/>
      <c r="V85" s="160" t="n"/>
      <c r="W85" s="307" t="n">
        <v>0</v>
      </c>
      <c r="X85" s="86" t="n"/>
      <c r="Y85" s="86" t="n"/>
      <c r="Z85" s="86" t="n"/>
      <c r="AA85" s="86" t="n"/>
      <c r="AB85" s="86" t="n"/>
      <c r="AC85" s="86" t="n"/>
      <c r="AD85" s="86" t="n"/>
      <c r="AE85" s="86" t="n"/>
      <c r="AF85" s="86" t="n"/>
      <c r="AG85" s="86" t="n"/>
      <c r="AH85" s="86" t="n"/>
      <c r="AI85" s="86" t="n"/>
      <c r="AJ85" s="86" t="n">
        <v>90</v>
      </c>
      <c r="AK85" s="102" t="n"/>
      <c r="AN85" t="inlineStr">
        <is>
          <t>Automotriz</t>
        </is>
      </c>
    </row>
    <row r="86" ht="30" customFormat="1" customHeight="1" s="129">
      <c r="A86" s="102" t="inlineStr">
        <is>
          <t>N4</t>
        </is>
      </c>
      <c r="B86" s="102" t="inlineStr">
        <is>
          <t>Gina Tinjacá</t>
        </is>
      </c>
      <c r="C86" s="118" t="inlineStr">
        <is>
          <t>ALLIANZ SEGUROS</t>
        </is>
      </c>
      <c r="D86" s="308" t="n">
        <v>0</v>
      </c>
      <c r="E86" s="102" t="n"/>
      <c r="F86" s="102" t="n"/>
      <c r="G86" s="102" t="n"/>
      <c r="H86" s="148" t="inlineStr">
        <is>
          <t>GENERAR PROPUESTA COMERCIAL</t>
        </is>
      </c>
      <c r="I86" s="105" t="n"/>
      <c r="J86" s="102" t="n"/>
      <c r="K86" s="105" t="n"/>
      <c r="L86" s="102" t="n"/>
      <c r="M86" s="105" t="n"/>
      <c r="N86" s="102" t="n"/>
      <c r="O86" s="102" t="inlineStr">
        <is>
          <t>Por Mejorar</t>
        </is>
      </c>
      <c r="P86" s="102">
        <f>A86&amp;"|"&amp;O86</f>
        <v/>
      </c>
      <c r="Q86" s="102" t="inlineStr">
        <is>
          <t>Alta</t>
        </is>
      </c>
      <c r="R86" s="102">
        <f>TRIM(tbl_BasePowerBI[[#This Row],[NOMBRE EJECUTIVO]])</f>
        <v/>
      </c>
      <c r="S86" s="102" t="n"/>
      <c r="T86" s="106" t="n"/>
      <c r="U86" s="106" t="n"/>
      <c r="V86" s="160" t="n"/>
      <c r="W86" s="307" t="n">
        <v>0</v>
      </c>
      <c r="X86" s="86" t="n"/>
      <c r="Y86" s="86" t="n"/>
      <c r="Z86" s="86" t="n"/>
      <c r="AA86" s="86" t="n"/>
      <c r="AB86" s="86" t="n"/>
      <c r="AC86" s="86" t="n"/>
      <c r="AD86" s="86" t="n"/>
      <c r="AE86" s="86" t="n"/>
      <c r="AF86" s="86" t="n"/>
      <c r="AG86" s="86" t="n"/>
      <c r="AH86" s="86" t="n"/>
      <c r="AI86" s="86" t="n"/>
      <c r="AJ86" s="86" t="n">
        <v>91</v>
      </c>
      <c r="AK86" s="102" t="n"/>
      <c r="AN86" t="inlineStr">
        <is>
          <t>Seguros</t>
        </is>
      </c>
    </row>
    <row r="87" ht="30" customFormat="1" customHeight="1" s="129">
      <c r="A87" s="102" t="inlineStr">
        <is>
          <t>N4</t>
        </is>
      </c>
      <c r="B87" s="102" t="inlineStr">
        <is>
          <t>Gina Tinjacá</t>
        </is>
      </c>
      <c r="C87" s="118" t="inlineStr">
        <is>
          <t>AUTOGERMANA</t>
        </is>
      </c>
      <c r="D87" s="308" t="n">
        <v>0</v>
      </c>
      <c r="E87" s="102" t="n"/>
      <c r="F87" s="102" t="n"/>
      <c r="G87" s="102" t="n"/>
      <c r="H87" s="148" t="inlineStr">
        <is>
          <t>GENERAR PROPUESTA COMERCIAL</t>
        </is>
      </c>
      <c r="I87" s="105" t="n"/>
      <c r="J87" s="102" t="n"/>
      <c r="K87" s="105" t="n"/>
      <c r="L87" s="102" t="n"/>
      <c r="M87" s="105" t="n"/>
      <c r="N87" s="102" t="n"/>
      <c r="O87" s="102" t="inlineStr">
        <is>
          <t>Por Mejorar</t>
        </is>
      </c>
      <c r="P87" s="102">
        <f>A87&amp;"|"&amp;O87</f>
        <v/>
      </c>
      <c r="Q87" s="102" t="inlineStr">
        <is>
          <t>Alta</t>
        </is>
      </c>
      <c r="R87" s="102">
        <f>TRIM(tbl_BasePowerBI[[#This Row],[NOMBRE EJECUTIVO]])</f>
        <v/>
      </c>
      <c r="S87" s="102" t="n"/>
      <c r="T87" s="106" t="n"/>
      <c r="U87" s="106" t="n"/>
      <c r="V87" s="160" t="n"/>
      <c r="W87" s="307" t="n">
        <v>0</v>
      </c>
      <c r="X87" s="86" t="n"/>
      <c r="Y87" s="86" t="n"/>
      <c r="Z87" s="86" t="n"/>
      <c r="AA87" s="86" t="n"/>
      <c r="AB87" s="86" t="n"/>
      <c r="AC87" s="86" t="n"/>
      <c r="AD87" s="86" t="n"/>
      <c r="AE87" s="86" t="n"/>
      <c r="AF87" s="86" t="n"/>
      <c r="AG87" s="86" t="n"/>
      <c r="AH87" s="86" t="n"/>
      <c r="AI87" s="86" t="n"/>
      <c r="AJ87" s="86" t="n">
        <v>92</v>
      </c>
      <c r="AK87" s="102" t="n"/>
      <c r="AN87" t="inlineStr">
        <is>
          <t>Automotriz</t>
        </is>
      </c>
    </row>
    <row r="88" ht="30" customFormat="1" customHeight="1" s="129">
      <c r="A88" s="102" t="inlineStr">
        <is>
          <t>N4</t>
        </is>
      </c>
      <c r="B88" s="102" t="inlineStr">
        <is>
          <t>Gina Tinjacá</t>
        </is>
      </c>
      <c r="C88" s="118" t="inlineStr">
        <is>
          <t>BBVA</t>
        </is>
      </c>
      <c r="D88" s="308" t="n">
        <v>0</v>
      </c>
      <c r="E88" s="102" t="n"/>
      <c r="F88" s="102" t="n"/>
      <c r="G88" s="102" t="n"/>
      <c r="H88" s="148" t="inlineStr">
        <is>
          <t>GENERAR PROPUESTA COMERCIAL</t>
        </is>
      </c>
      <c r="I88" s="105" t="n"/>
      <c r="J88" s="102" t="n"/>
      <c r="K88" s="105" t="n"/>
      <c r="L88" s="102" t="n"/>
      <c r="M88" s="105" t="n"/>
      <c r="N88" s="102" t="n"/>
      <c r="O88" s="102" t="inlineStr">
        <is>
          <t>Por Mejorar</t>
        </is>
      </c>
      <c r="P88" s="102">
        <f>A88&amp;"|"&amp;O88</f>
        <v/>
      </c>
      <c r="Q88" s="102" t="inlineStr">
        <is>
          <t>Alta</t>
        </is>
      </c>
      <c r="R88" s="102">
        <f>TRIM(tbl_BasePowerBI[[#This Row],[NOMBRE EJECUTIVO]])</f>
        <v/>
      </c>
      <c r="S88" s="102" t="n"/>
      <c r="T88" s="106" t="n"/>
      <c r="U88" s="106" t="n"/>
      <c r="V88" s="160" t="n"/>
      <c r="W88" s="307" t="n">
        <v>0</v>
      </c>
      <c r="X88" s="86" t="n"/>
      <c r="Y88" s="86" t="n"/>
      <c r="Z88" s="86" t="n"/>
      <c r="AA88" s="86" t="n"/>
      <c r="AB88" s="86" t="n"/>
      <c r="AC88" s="86" t="n"/>
      <c r="AD88" s="86" t="n"/>
      <c r="AE88" s="86" t="n"/>
      <c r="AF88" s="86" t="n"/>
      <c r="AG88" s="86" t="n"/>
      <c r="AH88" s="86" t="n"/>
      <c r="AI88" s="86" t="n"/>
      <c r="AJ88" s="86" t="n">
        <v>93</v>
      </c>
      <c r="AK88" s="102" t="n"/>
      <c r="AN88" t="inlineStr">
        <is>
          <t>Banca</t>
        </is>
      </c>
    </row>
    <row r="89" ht="30" customFormat="1" customHeight="1" s="129">
      <c r="A89" s="102" t="inlineStr">
        <is>
          <t>N4</t>
        </is>
      </c>
      <c r="B89" s="102" t="inlineStr">
        <is>
          <t>Gina Tinjacá</t>
        </is>
      </c>
      <c r="C89" s="118" t="inlineStr">
        <is>
          <t>BAT - BRITSH AMERICAN TOBACCO</t>
        </is>
      </c>
      <c r="D89" s="308" t="n">
        <v>0</v>
      </c>
      <c r="E89" s="102" t="n"/>
      <c r="F89" s="102" t="n"/>
      <c r="G89" s="102" t="n"/>
      <c r="H89" s="148" t="inlineStr">
        <is>
          <t>GENERAR PROPUESTA COMERCIAL</t>
        </is>
      </c>
      <c r="I89" s="105" t="n"/>
      <c r="J89" s="102" t="n"/>
      <c r="K89" s="105" t="n"/>
      <c r="L89" s="102" t="n"/>
      <c r="M89" s="105" t="n"/>
      <c r="N89" s="102" t="n"/>
      <c r="O89" s="102" t="inlineStr">
        <is>
          <t>Por Mejorar</t>
        </is>
      </c>
      <c r="P89" s="102">
        <f>A89&amp;"|"&amp;O89</f>
        <v/>
      </c>
      <c r="Q89" s="102" t="inlineStr">
        <is>
          <t>Alta</t>
        </is>
      </c>
      <c r="R89" s="102">
        <f>TRIM(tbl_BasePowerBI[[#This Row],[NOMBRE EJECUTIVO]])</f>
        <v/>
      </c>
      <c r="S89" s="102" t="n"/>
      <c r="T89" s="106" t="n"/>
      <c r="U89" s="106" t="n"/>
      <c r="V89" s="160" t="n"/>
      <c r="W89" s="307" t="n">
        <v>0</v>
      </c>
      <c r="X89" s="86" t="n"/>
      <c r="Y89" s="86" t="n"/>
      <c r="Z89" s="86" t="n"/>
      <c r="AA89" s="86" t="n"/>
      <c r="AB89" s="86" t="n"/>
      <c r="AC89" s="86" t="n"/>
      <c r="AD89" s="86" t="n"/>
      <c r="AE89" s="86" t="n"/>
      <c r="AF89" s="86" t="n"/>
      <c r="AG89" s="86" t="n"/>
      <c r="AH89" s="86" t="n"/>
      <c r="AI89" s="86" t="n"/>
      <c r="AJ89" s="86" t="n">
        <v>94</v>
      </c>
      <c r="AK89" s="102" t="n"/>
      <c r="AN89" t="inlineStr">
        <is>
          <t>Consumo Masivo</t>
        </is>
      </c>
    </row>
    <row r="90" ht="30" customFormat="1" customHeight="1" s="129">
      <c r="A90" s="102" t="inlineStr">
        <is>
          <t>N4</t>
        </is>
      </c>
      <c r="B90" s="102" t="inlineStr">
        <is>
          <t>Gina Tinjacá</t>
        </is>
      </c>
      <c r="C90" s="118" t="inlineStr">
        <is>
          <t>BROWN FORMAN</t>
        </is>
      </c>
      <c r="D90" s="308" t="n">
        <v>0</v>
      </c>
      <c r="E90" s="102" t="n"/>
      <c r="F90" s="102" t="n"/>
      <c r="G90" s="102" t="n"/>
      <c r="H90" s="148" t="inlineStr">
        <is>
          <t>GENERAR PROPUESTA COMERCIAL</t>
        </is>
      </c>
      <c r="I90" s="105" t="n"/>
      <c r="J90" s="102" t="n"/>
      <c r="K90" s="105" t="n"/>
      <c r="L90" s="102" t="n"/>
      <c r="M90" s="105" t="n"/>
      <c r="N90" s="102" t="n"/>
      <c r="O90" s="102" t="inlineStr">
        <is>
          <t>Por Mejorar</t>
        </is>
      </c>
      <c r="P90" s="102">
        <f>A90&amp;"|"&amp;O90</f>
        <v/>
      </c>
      <c r="Q90" s="102" t="inlineStr">
        <is>
          <t>Alta</t>
        </is>
      </c>
      <c r="R90" s="102">
        <f>TRIM(tbl_BasePowerBI[[#This Row],[NOMBRE EJECUTIVO]])</f>
        <v/>
      </c>
      <c r="S90" s="102" t="n"/>
      <c r="T90" s="106" t="n"/>
      <c r="U90" s="106" t="n"/>
      <c r="V90" s="160" t="n"/>
      <c r="W90" s="307" t="n">
        <v>0</v>
      </c>
      <c r="X90" s="86" t="n"/>
      <c r="Y90" s="86" t="n"/>
      <c r="Z90" s="86" t="n"/>
      <c r="AA90" s="86" t="n"/>
      <c r="AB90" s="86" t="n"/>
      <c r="AC90" s="86" t="n"/>
      <c r="AD90" s="86" t="n"/>
      <c r="AE90" s="86" t="n"/>
      <c r="AF90" s="86" t="n"/>
      <c r="AG90" s="86" t="n"/>
      <c r="AH90" s="86" t="n"/>
      <c r="AI90" s="86" t="n"/>
      <c r="AJ90" s="86" t="n">
        <v>95</v>
      </c>
      <c r="AK90" s="102" t="n"/>
      <c r="AL90" s="126" t="n"/>
      <c r="AN90" t="inlineStr">
        <is>
          <t>Consumo Masivo</t>
        </is>
      </c>
    </row>
    <row r="91" ht="30" customFormat="1" customHeight="1" s="129">
      <c r="A91" s="102" t="inlineStr">
        <is>
          <t>N4</t>
        </is>
      </c>
      <c r="B91" s="102" t="inlineStr">
        <is>
          <t>Gina Tinjacá</t>
        </is>
      </c>
      <c r="C91" s="118" t="inlineStr">
        <is>
          <t>CASTROL</t>
        </is>
      </c>
      <c r="D91" s="308" t="n">
        <v>0</v>
      </c>
      <c r="E91" s="102" t="n"/>
      <c r="F91" s="102" t="n"/>
      <c r="G91" s="102" t="n"/>
      <c r="H91" s="148" t="inlineStr">
        <is>
          <t>GENERAR PROPUESTA COMERCIAL</t>
        </is>
      </c>
      <c r="I91" s="105" t="n"/>
      <c r="J91" s="102" t="n"/>
      <c r="K91" s="105" t="n"/>
      <c r="L91" s="102" t="n"/>
      <c r="M91" s="105" t="n"/>
      <c r="N91" s="102" t="n"/>
      <c r="O91" s="102" t="inlineStr">
        <is>
          <t>Por Mejorar</t>
        </is>
      </c>
      <c r="P91" s="102">
        <f>A91&amp;"|"&amp;O91</f>
        <v/>
      </c>
      <c r="Q91" s="102" t="inlineStr">
        <is>
          <t>Alta</t>
        </is>
      </c>
      <c r="R91" s="102">
        <f>TRIM(tbl_BasePowerBI[[#This Row],[NOMBRE EJECUTIVO]])</f>
        <v/>
      </c>
      <c r="S91" s="102" t="n"/>
      <c r="T91" s="106" t="n"/>
      <c r="U91" s="106" t="n"/>
      <c r="V91" s="160" t="n"/>
      <c r="W91" s="307" t="n">
        <v>0</v>
      </c>
      <c r="X91" s="86" t="n"/>
      <c r="Y91" s="86" t="n"/>
      <c r="Z91" s="86" t="n"/>
      <c r="AA91" s="86" t="n"/>
      <c r="AB91" s="86" t="n"/>
      <c r="AC91" s="86" t="n"/>
      <c r="AD91" s="86" t="n"/>
      <c r="AE91" s="86" t="n"/>
      <c r="AF91" s="86" t="n"/>
      <c r="AG91" s="86" t="n"/>
      <c r="AH91" s="86" t="n"/>
      <c r="AI91" s="86" t="n"/>
      <c r="AJ91" s="86" t="n">
        <v>96</v>
      </c>
      <c r="AK91" s="102" t="n"/>
      <c r="AN91" t="inlineStr">
        <is>
          <t>Automotriz</t>
        </is>
      </c>
    </row>
    <row r="92" ht="30" customFormat="1" customHeight="1" s="129">
      <c r="A92" s="102" t="inlineStr">
        <is>
          <t>N4</t>
        </is>
      </c>
      <c r="B92" s="102" t="inlineStr">
        <is>
          <t>Gina Tinjacá</t>
        </is>
      </c>
      <c r="C92" s="118" t="inlineStr">
        <is>
          <t>CODERE COLOMBIA</t>
        </is>
      </c>
      <c r="D92" s="308" t="n">
        <v>0</v>
      </c>
      <c r="E92" s="102" t="n"/>
      <c r="F92" s="102" t="n"/>
      <c r="G92" s="102" t="n"/>
      <c r="H92" s="148" t="inlineStr">
        <is>
          <t>GENERAR PROPUESTA COMERCIAL</t>
        </is>
      </c>
      <c r="I92" s="105" t="n"/>
      <c r="J92" s="102" t="n"/>
      <c r="K92" s="105" t="n"/>
      <c r="L92" s="102" t="n"/>
      <c r="M92" s="105" t="n"/>
      <c r="N92" s="102" t="n"/>
      <c r="O92" s="102" t="inlineStr">
        <is>
          <t>Por Mejorar</t>
        </is>
      </c>
      <c r="P92" s="102">
        <f>A92&amp;"|"&amp;O92</f>
        <v/>
      </c>
      <c r="Q92" s="102" t="inlineStr">
        <is>
          <t>Alta</t>
        </is>
      </c>
      <c r="R92" s="102">
        <f>TRIM(tbl_BasePowerBI[[#This Row],[NOMBRE EJECUTIVO]])</f>
        <v/>
      </c>
      <c r="S92" s="102" t="n"/>
      <c r="T92" s="106" t="n"/>
      <c r="U92" s="106" t="n"/>
      <c r="V92" s="160" t="n"/>
      <c r="W92" s="307" t="n">
        <v>0</v>
      </c>
      <c r="X92" s="86" t="n"/>
      <c r="Y92" s="86" t="n"/>
      <c r="Z92" s="86" t="n"/>
      <c r="AA92" s="86" t="n"/>
      <c r="AB92" s="86" t="n"/>
      <c r="AC92" s="86" t="n"/>
      <c r="AD92" s="86" t="n"/>
      <c r="AE92" s="86" t="n"/>
      <c r="AF92" s="86" t="n"/>
      <c r="AG92" s="86" t="n"/>
      <c r="AH92" s="86" t="n"/>
      <c r="AI92" s="86" t="n"/>
      <c r="AJ92" s="86" t="n">
        <v>97</v>
      </c>
      <c r="AK92" s="102" t="n"/>
      <c r="AL92" s="126" t="n"/>
      <c r="AN92" t="inlineStr">
        <is>
          <t>Tecnología</t>
        </is>
      </c>
    </row>
    <row r="93" ht="30" customFormat="1" customHeight="1" s="129">
      <c r="A93" s="102" t="inlineStr">
        <is>
          <t>N4</t>
        </is>
      </c>
      <c r="B93" s="102" t="inlineStr">
        <is>
          <t>Gina Tinjacá</t>
        </is>
      </c>
      <c r="C93" s="118" t="inlineStr">
        <is>
          <t>COLCAN - VITALEA LAB</t>
        </is>
      </c>
      <c r="D93" s="308" t="n">
        <v>0</v>
      </c>
      <c r="E93" s="102" t="n"/>
      <c r="F93" s="102" t="n"/>
      <c r="G93" s="102" t="n"/>
      <c r="H93" s="148" t="inlineStr">
        <is>
          <t>GENERAR PROPUESTA COMERCIAL</t>
        </is>
      </c>
      <c r="I93" s="105" t="n"/>
      <c r="J93" s="102" t="n"/>
      <c r="K93" s="105" t="n"/>
      <c r="L93" s="102" t="n"/>
      <c r="M93" s="105" t="n"/>
      <c r="N93" s="102" t="n"/>
      <c r="O93" s="102" t="inlineStr">
        <is>
          <t>Por Mejorar</t>
        </is>
      </c>
      <c r="P93" s="102">
        <f>A93&amp;"|"&amp;O93</f>
        <v/>
      </c>
      <c r="Q93" s="102" t="inlineStr">
        <is>
          <t>Alta</t>
        </is>
      </c>
      <c r="R93" s="102">
        <f>TRIM(tbl_BasePowerBI[[#This Row],[NOMBRE EJECUTIVO]])</f>
        <v/>
      </c>
      <c r="S93" s="102" t="n"/>
      <c r="T93" s="106" t="n"/>
      <c r="U93" s="106" t="n"/>
      <c r="V93" s="160" t="n"/>
      <c r="W93" s="307" t="n">
        <v>0</v>
      </c>
      <c r="X93" s="86" t="n"/>
      <c r="Y93" s="86" t="n"/>
      <c r="Z93" s="86" t="n"/>
      <c r="AA93" s="86" t="n"/>
      <c r="AB93" s="86" t="n"/>
      <c r="AC93" s="86" t="n"/>
      <c r="AD93" s="86" t="n"/>
      <c r="AE93" s="86" t="n"/>
      <c r="AF93" s="86" t="n"/>
      <c r="AG93" s="86" t="n"/>
      <c r="AH93" s="86" t="n"/>
      <c r="AI93" s="86" t="n"/>
      <c r="AJ93" s="86" t="n">
        <v>98</v>
      </c>
      <c r="AK93" s="102" t="n"/>
      <c r="AL93" s="126" t="n"/>
      <c r="AN93" t="inlineStr">
        <is>
          <t>Salud</t>
        </is>
      </c>
    </row>
    <row r="94" ht="30" customFormat="1" customHeight="1" s="129">
      <c r="A94" s="102" t="inlineStr">
        <is>
          <t>N4</t>
        </is>
      </c>
      <c r="B94" s="102" t="inlineStr">
        <is>
          <t>Gina Tinjacá</t>
        </is>
      </c>
      <c r="C94" s="118" t="inlineStr">
        <is>
          <t>COVINOC</t>
        </is>
      </c>
      <c r="D94" s="308" t="n">
        <v>0</v>
      </c>
      <c r="E94" s="102" t="n"/>
      <c r="F94" s="102" t="n"/>
      <c r="G94" s="102" t="n"/>
      <c r="H94" s="148" t="inlineStr">
        <is>
          <t>GENERAR PROPUESTA COMERCIAL</t>
        </is>
      </c>
      <c r="I94" s="105" t="n"/>
      <c r="J94" s="102" t="n"/>
      <c r="K94" s="105" t="n"/>
      <c r="L94" s="102" t="n"/>
      <c r="M94" s="105" t="n"/>
      <c r="N94" s="102" t="n"/>
      <c r="O94" s="102" t="inlineStr">
        <is>
          <t>Por Mejorar</t>
        </is>
      </c>
      <c r="P94" s="102">
        <f>A94&amp;"|"&amp;O94</f>
        <v/>
      </c>
      <c r="Q94" s="102" t="inlineStr">
        <is>
          <t>Alta</t>
        </is>
      </c>
      <c r="R94" s="102">
        <f>TRIM(tbl_BasePowerBI[[#This Row],[NOMBRE EJECUTIVO]])</f>
        <v/>
      </c>
      <c r="S94" s="102" t="n"/>
      <c r="T94" s="106" t="n"/>
      <c r="U94" s="106" t="n"/>
      <c r="V94" s="160" t="n"/>
      <c r="W94" s="307" t="n">
        <v>0</v>
      </c>
      <c r="X94" s="86" t="n"/>
      <c r="Y94" s="86" t="n"/>
      <c r="Z94" s="86" t="n"/>
      <c r="AA94" s="86" t="n"/>
      <c r="AB94" s="86" t="n"/>
      <c r="AC94" s="86" t="n"/>
      <c r="AD94" s="86" t="n"/>
      <c r="AE94" s="86" t="n"/>
      <c r="AF94" s="86" t="n"/>
      <c r="AG94" s="86" t="n"/>
      <c r="AH94" s="86" t="n"/>
      <c r="AI94" s="86" t="n"/>
      <c r="AJ94" s="86" t="n">
        <v>99</v>
      </c>
      <c r="AK94" s="102" t="n"/>
      <c r="AN94" t="inlineStr">
        <is>
          <t>Banca</t>
        </is>
      </c>
    </row>
    <row r="95" ht="30" customFormat="1" customHeight="1" s="129">
      <c r="A95" s="102" t="inlineStr">
        <is>
          <t>N4</t>
        </is>
      </c>
      <c r="B95" s="102" t="inlineStr">
        <is>
          <t>Gina Tinjacá</t>
        </is>
      </c>
      <c r="C95" s="118" t="inlineStr">
        <is>
          <t>COVO</t>
        </is>
      </c>
      <c r="D95" s="308" t="n">
        <v>0</v>
      </c>
      <c r="E95" s="102" t="n"/>
      <c r="F95" s="102" t="n"/>
      <c r="G95" s="102" t="n"/>
      <c r="H95" s="148" t="inlineStr">
        <is>
          <t>GENERAR PROPUESTA COMERCIAL</t>
        </is>
      </c>
      <c r="I95" s="105" t="n"/>
      <c r="J95" s="102" t="n"/>
      <c r="K95" s="105" t="n"/>
      <c r="L95" s="102" t="n"/>
      <c r="M95" s="105" t="n"/>
      <c r="N95" s="102" t="n"/>
      <c r="O95" s="102" t="inlineStr">
        <is>
          <t>Por Mejorar</t>
        </is>
      </c>
      <c r="P95" s="102">
        <f>A95&amp;"|"&amp;O95</f>
        <v/>
      </c>
      <c r="Q95" s="102" t="inlineStr">
        <is>
          <t>Alta</t>
        </is>
      </c>
      <c r="R95" s="102">
        <f>TRIM(tbl_BasePowerBI[[#This Row],[NOMBRE EJECUTIVO]])</f>
        <v/>
      </c>
      <c r="S95" s="102" t="n"/>
      <c r="T95" s="106" t="n"/>
      <c r="U95" s="106" t="n"/>
      <c r="V95" s="160" t="n"/>
      <c r="W95" s="307" t="n">
        <v>0</v>
      </c>
      <c r="X95" s="86" t="n"/>
      <c r="Y95" s="86" t="n"/>
      <c r="Z95" s="86" t="n"/>
      <c r="AA95" s="86" t="n"/>
      <c r="AB95" s="86" t="n"/>
      <c r="AC95" s="86" t="n"/>
      <c r="AD95" s="86" t="n"/>
      <c r="AE95" s="86" t="n"/>
      <c r="AF95" s="86" t="n"/>
      <c r="AG95" s="86" t="n"/>
      <c r="AH95" s="86" t="n"/>
      <c r="AI95" s="86" t="n"/>
      <c r="AJ95" s="86" t="n">
        <v>100</v>
      </c>
      <c r="AK95" s="102" t="n"/>
      <c r="AN95" t="inlineStr">
        <is>
          <t>Otros</t>
        </is>
      </c>
    </row>
    <row r="96" ht="30" customFormat="1" customHeight="1" s="129">
      <c r="A96" s="102" t="inlineStr">
        <is>
          <t>N4</t>
        </is>
      </c>
      <c r="B96" s="102" t="inlineStr">
        <is>
          <t>Gina Tinjacá</t>
        </is>
      </c>
      <c r="C96" s="118" t="inlineStr">
        <is>
          <t>EGALITE</t>
        </is>
      </c>
      <c r="D96" s="308" t="n">
        <v>0</v>
      </c>
      <c r="E96" s="102" t="n"/>
      <c r="F96" s="102" t="n"/>
      <c r="G96" s="102" t="n"/>
      <c r="H96" s="148" t="inlineStr">
        <is>
          <t>GENERAR PROPUESTA COMERCIAL</t>
        </is>
      </c>
      <c r="I96" s="105" t="n"/>
      <c r="J96" s="102" t="n"/>
      <c r="K96" s="105" t="n"/>
      <c r="L96" s="102" t="n"/>
      <c r="M96" s="105" t="n"/>
      <c r="N96" s="102" t="n"/>
      <c r="O96" s="102" t="inlineStr">
        <is>
          <t>Por Mejorar</t>
        </is>
      </c>
      <c r="P96" s="102">
        <f>A96&amp;"|"&amp;O96</f>
        <v/>
      </c>
      <c r="Q96" s="102" t="inlineStr">
        <is>
          <t>Alta</t>
        </is>
      </c>
      <c r="R96" s="102">
        <f>TRIM(tbl_BasePowerBI[[#This Row],[NOMBRE EJECUTIVO]])</f>
        <v/>
      </c>
      <c r="S96" s="102" t="n"/>
      <c r="T96" s="106" t="n"/>
      <c r="U96" s="106" t="n"/>
      <c r="V96" s="160" t="n"/>
      <c r="W96" s="307" t="n">
        <v>0</v>
      </c>
      <c r="X96" s="86" t="n"/>
      <c r="Y96" s="86" t="n"/>
      <c r="Z96" s="86" t="n"/>
      <c r="AA96" s="86" t="n"/>
      <c r="AB96" s="86" t="n"/>
      <c r="AC96" s="86" t="n"/>
      <c r="AD96" s="86" t="n"/>
      <c r="AE96" s="86" t="n"/>
      <c r="AF96" s="86" t="n"/>
      <c r="AG96" s="86" t="n"/>
      <c r="AH96" s="86" t="n"/>
      <c r="AI96" s="86" t="n"/>
      <c r="AJ96" s="86" t="n">
        <v>101</v>
      </c>
      <c r="AK96" s="102" t="n"/>
      <c r="AN96" t="inlineStr">
        <is>
          <t>Moda</t>
        </is>
      </c>
    </row>
    <row r="97" ht="30" customFormat="1" customHeight="1" s="129">
      <c r="A97" s="102" t="inlineStr">
        <is>
          <t>N4</t>
        </is>
      </c>
      <c r="B97" s="102" t="inlineStr">
        <is>
          <t>Gina Tinjacá</t>
        </is>
      </c>
      <c r="C97" s="118" t="inlineStr">
        <is>
          <t>FORD</t>
        </is>
      </c>
      <c r="D97" s="308" t="n">
        <v>0</v>
      </c>
      <c r="E97" s="102" t="n"/>
      <c r="F97" s="102" t="n"/>
      <c r="G97" s="102" t="n"/>
      <c r="H97" s="148" t="inlineStr">
        <is>
          <t>GENERAR PROPUESTA COMERCIAL</t>
        </is>
      </c>
      <c r="I97" s="105" t="n"/>
      <c r="J97" s="102" t="n"/>
      <c r="K97" s="105" t="n"/>
      <c r="L97" s="102" t="n"/>
      <c r="M97" s="105" t="n"/>
      <c r="N97" s="102" t="n"/>
      <c r="O97" s="102" t="inlineStr">
        <is>
          <t>Por Mejorar</t>
        </is>
      </c>
      <c r="P97" s="102">
        <f>A97&amp;"|"&amp;O97</f>
        <v/>
      </c>
      <c r="Q97" s="102" t="inlineStr">
        <is>
          <t>Alta</t>
        </is>
      </c>
      <c r="R97" s="102">
        <f>TRIM(tbl_BasePowerBI[[#This Row],[NOMBRE EJECUTIVO]])</f>
        <v/>
      </c>
      <c r="S97" s="102" t="n"/>
      <c r="T97" s="106" t="n"/>
      <c r="U97" s="106" t="n"/>
      <c r="V97" s="160" t="n"/>
      <c r="W97" s="307" t="n">
        <v>0</v>
      </c>
      <c r="X97" s="86" t="n"/>
      <c r="Y97" s="86" t="n"/>
      <c r="Z97" s="86" t="n"/>
      <c r="AA97" s="86" t="n"/>
      <c r="AB97" s="86" t="n"/>
      <c r="AC97" s="86" t="n"/>
      <c r="AD97" s="86" t="n"/>
      <c r="AE97" s="86" t="n"/>
      <c r="AF97" s="86" t="n"/>
      <c r="AG97" s="86" t="n"/>
      <c r="AH97" s="86" t="n"/>
      <c r="AI97" s="86" t="n"/>
      <c r="AJ97" s="86" t="n">
        <v>102</v>
      </c>
      <c r="AK97" s="102" t="n"/>
      <c r="AN97" t="inlineStr">
        <is>
          <t>Automotriz</t>
        </is>
      </c>
    </row>
    <row r="98" ht="30" customFormat="1" customHeight="1" s="129">
      <c r="A98" s="102" t="inlineStr">
        <is>
          <t>N4</t>
        </is>
      </c>
      <c r="B98" s="102" t="inlineStr">
        <is>
          <t>Gina Tinjacá</t>
        </is>
      </c>
      <c r="C98" s="118" t="inlineStr">
        <is>
          <t>GENCELL</t>
        </is>
      </c>
      <c r="D98" s="308" t="n">
        <v>0</v>
      </c>
      <c r="E98" s="102" t="n"/>
      <c r="F98" s="102" t="n"/>
      <c r="G98" s="102" t="n"/>
      <c r="H98" s="148" t="inlineStr">
        <is>
          <t>GENERAR PROPUESTA COMERCIAL</t>
        </is>
      </c>
      <c r="I98" s="105" t="n"/>
      <c r="J98" s="102" t="n"/>
      <c r="K98" s="105" t="n"/>
      <c r="L98" s="102" t="n"/>
      <c r="M98" s="105" t="n"/>
      <c r="N98" s="102" t="n"/>
      <c r="O98" s="102" t="inlineStr">
        <is>
          <t>Por Mejorar</t>
        </is>
      </c>
      <c r="P98" s="102">
        <f>A98&amp;"|"&amp;O98</f>
        <v/>
      </c>
      <c r="Q98" s="102" t="inlineStr">
        <is>
          <t>Alta</t>
        </is>
      </c>
      <c r="R98" s="102">
        <f>TRIM(tbl_BasePowerBI[[#This Row],[NOMBRE EJECUTIVO]])</f>
        <v/>
      </c>
      <c r="S98" s="102" t="n"/>
      <c r="T98" s="106" t="n"/>
      <c r="U98" s="106" t="n"/>
      <c r="V98" s="160" t="n"/>
      <c r="W98" s="307" t="n">
        <v>0</v>
      </c>
      <c r="X98" s="86" t="n"/>
      <c r="Y98" s="86" t="n"/>
      <c r="Z98" s="86" t="n"/>
      <c r="AA98" s="86" t="n"/>
      <c r="AB98" s="86" t="n"/>
      <c r="AC98" s="86" t="n"/>
      <c r="AD98" s="86" t="n"/>
      <c r="AE98" s="86" t="n"/>
      <c r="AF98" s="86" t="n"/>
      <c r="AG98" s="86" t="n"/>
      <c r="AH98" s="86" t="n"/>
      <c r="AI98" s="86" t="n"/>
      <c r="AJ98" s="86" t="n">
        <v>103</v>
      </c>
      <c r="AK98" s="102" t="n"/>
      <c r="AN98" t="inlineStr">
        <is>
          <t>Tecnología</t>
        </is>
      </c>
    </row>
    <row r="99" ht="30" customFormat="1" customHeight="1" s="129">
      <c r="A99" s="102" t="inlineStr">
        <is>
          <t>N4</t>
        </is>
      </c>
      <c r="B99" s="102" t="inlineStr">
        <is>
          <t>Gina Tinjacá</t>
        </is>
      </c>
      <c r="C99" s="118" t="inlineStr">
        <is>
          <t>ISHOP</t>
        </is>
      </c>
      <c r="D99" s="308" t="n">
        <v>0</v>
      </c>
      <c r="E99" s="102" t="n"/>
      <c r="F99" s="102" t="n"/>
      <c r="G99" s="102" t="n"/>
      <c r="H99" s="148" t="inlineStr">
        <is>
          <t>GENERAR PROPUESTA COMERCIAL</t>
        </is>
      </c>
      <c r="I99" s="105" t="n"/>
      <c r="J99" s="102" t="n"/>
      <c r="K99" s="105" t="n"/>
      <c r="L99" s="102" t="n"/>
      <c r="M99" s="105" t="n"/>
      <c r="N99" s="102" t="n"/>
      <c r="O99" s="102" t="inlineStr">
        <is>
          <t>Por Mejorar</t>
        </is>
      </c>
      <c r="P99" s="102">
        <f>A99&amp;"|"&amp;O99</f>
        <v/>
      </c>
      <c r="Q99" s="102" t="inlineStr">
        <is>
          <t>Alta</t>
        </is>
      </c>
      <c r="R99" s="102">
        <f>TRIM(tbl_BasePowerBI[[#This Row],[NOMBRE EJECUTIVO]])</f>
        <v/>
      </c>
      <c r="S99" s="102" t="n"/>
      <c r="T99" s="106" t="n"/>
      <c r="U99" s="106" t="n"/>
      <c r="V99" s="160" t="n"/>
      <c r="W99" s="307" t="n">
        <v>0</v>
      </c>
      <c r="X99" s="86" t="n"/>
      <c r="Y99" s="86" t="n"/>
      <c r="Z99" s="86" t="n"/>
      <c r="AA99" s="86" t="n"/>
      <c r="AB99" s="86" t="n"/>
      <c r="AC99" s="86" t="n"/>
      <c r="AD99" s="86" t="n"/>
      <c r="AE99" s="86" t="n"/>
      <c r="AF99" s="86" t="n"/>
      <c r="AG99" s="86" t="n"/>
      <c r="AH99" s="86" t="n"/>
      <c r="AI99" s="86" t="n"/>
      <c r="AJ99" s="86" t="n">
        <v>104</v>
      </c>
      <c r="AK99" s="102" t="n"/>
      <c r="AN99" t="inlineStr">
        <is>
          <t>Tecnología</t>
        </is>
      </c>
    </row>
    <row r="100" ht="30" customFormat="1" customHeight="1" s="129">
      <c r="A100" s="102" t="inlineStr">
        <is>
          <t>N4</t>
        </is>
      </c>
      <c r="B100" s="102" t="inlineStr">
        <is>
          <t>Gina Tinjacá</t>
        </is>
      </c>
      <c r="C100" s="118" t="inlineStr">
        <is>
          <t>KFC - INVERSIONES INT COLOMBIA</t>
        </is>
      </c>
      <c r="D100" s="308" t="n">
        <v>0</v>
      </c>
      <c r="E100" s="102" t="n"/>
      <c r="F100" s="102" t="n"/>
      <c r="G100" s="102" t="n"/>
      <c r="H100" s="148" t="inlineStr">
        <is>
          <t>GENERAR PROPUESTA COMERCIAL</t>
        </is>
      </c>
      <c r="I100" s="105" t="n"/>
      <c r="J100" s="102" t="n"/>
      <c r="K100" s="105" t="n"/>
      <c r="L100" s="102" t="n"/>
      <c r="M100" s="105" t="n"/>
      <c r="N100" s="102" t="n"/>
      <c r="O100" s="102" t="inlineStr">
        <is>
          <t>Por Mejorar</t>
        </is>
      </c>
      <c r="P100" s="102">
        <f>A100&amp;"|"&amp;O100</f>
        <v/>
      </c>
      <c r="Q100" s="102" t="inlineStr">
        <is>
          <t>Alta</t>
        </is>
      </c>
      <c r="R100" s="102">
        <f>TRIM(tbl_BasePowerBI[[#This Row],[NOMBRE EJECUTIVO]])</f>
        <v/>
      </c>
      <c r="S100" s="102" t="n"/>
      <c r="T100" s="106" t="n"/>
      <c r="U100" s="106" t="n"/>
      <c r="V100" s="160" t="n"/>
      <c r="W100" s="307" t="n">
        <v>0</v>
      </c>
      <c r="X100" s="86" t="n"/>
      <c r="Y100" s="86" t="n"/>
      <c r="Z100" s="86" t="n"/>
      <c r="AA100" s="86" t="n"/>
      <c r="AB100" s="86" t="n"/>
      <c r="AC100" s="86" t="n"/>
      <c r="AD100" s="86" t="n"/>
      <c r="AE100" s="86" t="n"/>
      <c r="AF100" s="86" t="n"/>
      <c r="AG100" s="86" t="n"/>
      <c r="AH100" s="86" t="n"/>
      <c r="AI100" s="86" t="n"/>
      <c r="AJ100" s="86" t="n">
        <v>105</v>
      </c>
      <c r="AK100" s="102" t="n"/>
      <c r="AN100" t="inlineStr">
        <is>
          <t>Gastronomía</t>
        </is>
      </c>
    </row>
    <row r="101" ht="30" customFormat="1" customHeight="1" s="129">
      <c r="A101" s="102" t="inlineStr">
        <is>
          <t>N4</t>
        </is>
      </c>
      <c r="B101" s="102" t="inlineStr">
        <is>
          <t>Gina Tinjacá</t>
        </is>
      </c>
      <c r="C101" s="118" t="inlineStr">
        <is>
          <t>MAZDA</t>
        </is>
      </c>
      <c r="D101" s="308" t="n">
        <v>0</v>
      </c>
      <c r="E101" s="102" t="n"/>
      <c r="F101" s="102" t="n"/>
      <c r="G101" s="102" t="n"/>
      <c r="H101" s="148" t="inlineStr">
        <is>
          <t>GENERAR PROPUESTA COMERCIAL</t>
        </is>
      </c>
      <c r="I101" s="105" t="n"/>
      <c r="J101" s="102" t="n"/>
      <c r="K101" s="105" t="n"/>
      <c r="L101" s="102" t="n"/>
      <c r="M101" s="105" t="n"/>
      <c r="N101" s="102" t="n"/>
      <c r="O101" s="102" t="inlineStr">
        <is>
          <t>Por Mejorar</t>
        </is>
      </c>
      <c r="P101" s="102">
        <f>A101&amp;"|"&amp;O101</f>
        <v/>
      </c>
      <c r="Q101" s="102" t="inlineStr">
        <is>
          <t>Alta</t>
        </is>
      </c>
      <c r="R101" s="102">
        <f>TRIM(tbl_BasePowerBI[[#This Row],[NOMBRE EJECUTIVO]])</f>
        <v/>
      </c>
      <c r="S101" s="102" t="n"/>
      <c r="T101" s="106" t="n"/>
      <c r="U101" s="106" t="n"/>
      <c r="V101" s="160" t="n"/>
      <c r="W101" s="307" t="n">
        <v>0</v>
      </c>
      <c r="X101" s="86" t="n"/>
      <c r="Y101" s="86" t="n"/>
      <c r="Z101" s="86" t="n"/>
      <c r="AA101" s="86" t="n"/>
      <c r="AB101" s="86" t="n"/>
      <c r="AC101" s="86" t="n"/>
      <c r="AD101" s="86" t="n"/>
      <c r="AE101" s="86" t="n"/>
      <c r="AF101" s="86" t="n"/>
      <c r="AG101" s="86" t="n"/>
      <c r="AH101" s="86" t="n"/>
      <c r="AI101" s="86" t="n"/>
      <c r="AJ101" s="86" t="n">
        <v>106</v>
      </c>
      <c r="AK101" s="102" t="n"/>
      <c r="AN101" t="inlineStr">
        <is>
          <t>Automotriz</t>
        </is>
      </c>
    </row>
    <row r="102" ht="30" customFormat="1" customHeight="1" s="129">
      <c r="A102" s="102" t="inlineStr">
        <is>
          <t>N4</t>
        </is>
      </c>
      <c r="B102" s="102" t="inlineStr">
        <is>
          <t>Gina Tinjacá</t>
        </is>
      </c>
      <c r="C102" s="118" t="inlineStr">
        <is>
          <t>MEDPLUS</t>
        </is>
      </c>
      <c r="D102" s="308" t="n">
        <v>0</v>
      </c>
      <c r="E102" s="102" t="n"/>
      <c r="F102" s="102" t="n"/>
      <c r="G102" s="102" t="n"/>
      <c r="H102" s="148" t="inlineStr">
        <is>
          <t>GENERAR PROPUESTA COMERCIAL</t>
        </is>
      </c>
      <c r="I102" s="105" t="n"/>
      <c r="J102" s="102" t="n"/>
      <c r="K102" s="105" t="n"/>
      <c r="L102" s="102" t="n"/>
      <c r="M102" s="105" t="n"/>
      <c r="N102" s="102" t="n"/>
      <c r="O102" s="102" t="inlineStr">
        <is>
          <t>Por Mejorar</t>
        </is>
      </c>
      <c r="P102" s="102">
        <f>A102&amp;"|"&amp;O102</f>
        <v/>
      </c>
      <c r="Q102" s="102" t="inlineStr">
        <is>
          <t>Alta</t>
        </is>
      </c>
      <c r="R102" s="102">
        <f>TRIM(tbl_BasePowerBI[[#This Row],[NOMBRE EJECUTIVO]])</f>
        <v/>
      </c>
      <c r="S102" s="102" t="n"/>
      <c r="T102" s="106" t="n"/>
      <c r="U102" s="106" t="n"/>
      <c r="V102" s="160" t="n"/>
      <c r="W102" s="307" t="n">
        <v>0</v>
      </c>
      <c r="X102" s="86" t="n"/>
      <c r="Y102" s="86" t="n"/>
      <c r="Z102" s="86" t="n"/>
      <c r="AA102" s="86" t="n"/>
      <c r="AB102" s="86" t="n"/>
      <c r="AC102" s="86" t="n"/>
      <c r="AD102" s="86" t="n"/>
      <c r="AE102" s="86" t="n"/>
      <c r="AF102" s="86" t="n"/>
      <c r="AG102" s="86" t="n"/>
      <c r="AH102" s="86" t="n"/>
      <c r="AI102" s="86" t="n"/>
      <c r="AJ102" s="86" t="n">
        <v>107</v>
      </c>
      <c r="AK102" s="102" t="n"/>
      <c r="AN102" t="inlineStr">
        <is>
          <t>Salud</t>
        </is>
      </c>
    </row>
    <row r="103" ht="30" customFormat="1" customHeight="1" s="129">
      <c r="A103" s="102" t="inlineStr">
        <is>
          <t>N4</t>
        </is>
      </c>
      <c r="B103" s="102" t="inlineStr">
        <is>
          <t>Gina Tinjacá</t>
        </is>
      </c>
      <c r="C103" s="118" t="inlineStr">
        <is>
          <t>PASH - OSTU</t>
        </is>
      </c>
      <c r="D103" s="308" t="n">
        <v>0</v>
      </c>
      <c r="E103" s="102" t="n"/>
      <c r="F103" s="102" t="n"/>
      <c r="G103" s="102" t="n"/>
      <c r="H103" s="148" t="inlineStr">
        <is>
          <t>GENERAR PROPUESTA COMERCIAL</t>
        </is>
      </c>
      <c r="I103" s="105" t="n"/>
      <c r="J103" s="102" t="n"/>
      <c r="K103" s="105" t="n"/>
      <c r="L103" s="102" t="n"/>
      <c r="M103" s="105" t="n"/>
      <c r="N103" s="102" t="n"/>
      <c r="O103" s="102" t="inlineStr">
        <is>
          <t>Por Mejorar</t>
        </is>
      </c>
      <c r="P103" s="102">
        <f>A103&amp;"|"&amp;O103</f>
        <v/>
      </c>
      <c r="Q103" s="102" t="inlineStr">
        <is>
          <t>Alta</t>
        </is>
      </c>
      <c r="R103" s="102">
        <f>TRIM(tbl_BasePowerBI[[#This Row],[NOMBRE EJECUTIVO]])</f>
        <v/>
      </c>
      <c r="S103" s="102" t="n"/>
      <c r="T103" s="106" t="n"/>
      <c r="U103" s="106" t="n"/>
      <c r="V103" s="160" t="n"/>
      <c r="W103" s="307" t="n">
        <v>0</v>
      </c>
      <c r="X103" s="86" t="n"/>
      <c r="Y103" s="86" t="n"/>
      <c r="Z103" s="86" t="n"/>
      <c r="AA103" s="86" t="n"/>
      <c r="AB103" s="86" t="n"/>
      <c r="AC103" s="86" t="n"/>
      <c r="AD103" s="86" t="n"/>
      <c r="AE103" s="86" t="n"/>
      <c r="AF103" s="86" t="n"/>
      <c r="AG103" s="86" t="n"/>
      <c r="AH103" s="86" t="n"/>
      <c r="AI103" s="86" t="n"/>
      <c r="AJ103" s="86" t="n">
        <v>108</v>
      </c>
      <c r="AK103" s="102" t="n"/>
      <c r="AL103" s="126" t="n"/>
      <c r="AN103" t="inlineStr">
        <is>
          <t>Moda</t>
        </is>
      </c>
    </row>
    <row r="104" ht="30" customFormat="1" customHeight="1" s="129">
      <c r="A104" s="102" t="inlineStr">
        <is>
          <t>N4</t>
        </is>
      </c>
      <c r="B104" s="102" t="inlineStr">
        <is>
          <t>Gina Tinjacá</t>
        </is>
      </c>
      <c r="C104" s="118" t="inlineStr">
        <is>
          <t>PAVCO</t>
        </is>
      </c>
      <c r="D104" s="308" t="n">
        <v>0</v>
      </c>
      <c r="E104" s="102" t="n"/>
      <c r="F104" s="102" t="n"/>
      <c r="G104" s="102" t="n"/>
      <c r="H104" s="148" t="inlineStr">
        <is>
          <t>GENERAR PROPUESTA COMERCIAL</t>
        </is>
      </c>
      <c r="I104" s="105" t="n"/>
      <c r="J104" s="102" t="n"/>
      <c r="K104" s="105" t="n"/>
      <c r="L104" s="102" t="n"/>
      <c r="M104" s="105" t="n"/>
      <c r="N104" s="102" t="n"/>
      <c r="O104" s="102" t="inlineStr">
        <is>
          <t>Por Mejorar</t>
        </is>
      </c>
      <c r="P104" s="102">
        <f>A104&amp;"|"&amp;O104</f>
        <v/>
      </c>
      <c r="Q104" s="102" t="inlineStr">
        <is>
          <t>Alta</t>
        </is>
      </c>
      <c r="R104" s="102">
        <f>TRIM(tbl_BasePowerBI[[#This Row],[NOMBRE EJECUTIVO]])</f>
        <v/>
      </c>
      <c r="S104" s="102" t="n"/>
      <c r="T104" s="106" t="n"/>
      <c r="U104" s="106" t="n"/>
      <c r="V104" s="160" t="n"/>
      <c r="W104" s="307" t="n">
        <v>0</v>
      </c>
      <c r="X104" s="86" t="n"/>
      <c r="Y104" s="86" t="n"/>
      <c r="Z104" s="86" t="n"/>
      <c r="AA104" s="86" t="n"/>
      <c r="AB104" s="86" t="n"/>
      <c r="AC104" s="86" t="n"/>
      <c r="AD104" s="86" t="n"/>
      <c r="AE104" s="86" t="n"/>
      <c r="AF104" s="86" t="n"/>
      <c r="AG104" s="86" t="n"/>
      <c r="AH104" s="86" t="n"/>
      <c r="AI104" s="86" t="n"/>
      <c r="AJ104" s="86" t="n">
        <v>109</v>
      </c>
      <c r="AK104" s="102" t="n"/>
      <c r="AN104" t="inlineStr">
        <is>
          <t>Consumo Masivo</t>
        </is>
      </c>
    </row>
    <row r="105" ht="30" customFormat="1" customHeight="1" s="129">
      <c r="A105" s="102" t="inlineStr">
        <is>
          <t>N4</t>
        </is>
      </c>
      <c r="B105" s="102" t="inlineStr">
        <is>
          <t>Gina Tinjacá</t>
        </is>
      </c>
      <c r="C105" s="118" t="inlineStr">
        <is>
          <t>PAX ASSISTANCE</t>
        </is>
      </c>
      <c r="D105" s="308" t="n">
        <v>0</v>
      </c>
      <c r="E105" s="102" t="n"/>
      <c r="F105" s="102" t="n"/>
      <c r="G105" s="102" t="n"/>
      <c r="H105" s="148" t="inlineStr">
        <is>
          <t>GENERAR PROPUESTA COMERCIAL</t>
        </is>
      </c>
      <c r="I105" s="105" t="n"/>
      <c r="J105" s="102" t="n"/>
      <c r="K105" s="105" t="n"/>
      <c r="L105" s="102" t="n"/>
      <c r="M105" s="105" t="n"/>
      <c r="N105" s="102" t="n"/>
      <c r="O105" s="102" t="inlineStr">
        <is>
          <t>Por Mejorar</t>
        </is>
      </c>
      <c r="P105" s="102">
        <f>A105&amp;"|"&amp;O105</f>
        <v/>
      </c>
      <c r="Q105" s="102" t="inlineStr">
        <is>
          <t>Alta</t>
        </is>
      </c>
      <c r="R105" s="102">
        <f>TRIM(tbl_BasePowerBI[[#This Row],[NOMBRE EJECUTIVO]])</f>
        <v/>
      </c>
      <c r="S105" s="102" t="n"/>
      <c r="T105" s="106" t="n"/>
      <c r="U105" s="106" t="n"/>
      <c r="V105" s="160" t="n"/>
      <c r="W105" s="307" t="n">
        <v>0</v>
      </c>
      <c r="X105" s="86" t="n"/>
      <c r="Y105" s="86" t="n"/>
      <c r="Z105" s="86" t="n"/>
      <c r="AA105" s="86" t="n"/>
      <c r="AB105" s="86" t="n"/>
      <c r="AC105" s="86" t="n"/>
      <c r="AD105" s="86" t="n"/>
      <c r="AE105" s="86" t="n"/>
      <c r="AF105" s="86" t="n"/>
      <c r="AG105" s="86" t="n"/>
      <c r="AH105" s="86" t="n"/>
      <c r="AI105" s="86" t="n"/>
      <c r="AJ105" s="86" t="n">
        <v>112</v>
      </c>
      <c r="AK105" s="102" t="n"/>
      <c r="AN105" t="inlineStr">
        <is>
          <t>Seguros</t>
        </is>
      </c>
    </row>
    <row r="106" ht="30" customFormat="1" customHeight="1" s="129">
      <c r="A106" s="102" t="inlineStr">
        <is>
          <t>N4</t>
        </is>
      </c>
      <c r="B106" s="102" t="inlineStr">
        <is>
          <t>Gina Tinjacá</t>
        </is>
      </c>
      <c r="C106" s="118" t="inlineStr">
        <is>
          <t>SC JOHNSON</t>
        </is>
      </c>
      <c r="D106" s="308" t="n">
        <v>0</v>
      </c>
      <c r="E106" s="102" t="n"/>
      <c r="F106" s="102" t="n"/>
      <c r="G106" s="102" t="n"/>
      <c r="H106" s="148" t="inlineStr">
        <is>
          <t>GENERAR PROPUESTA COMERCIAL</t>
        </is>
      </c>
      <c r="I106" s="105" t="n"/>
      <c r="J106" s="102" t="n"/>
      <c r="K106" s="105" t="n"/>
      <c r="L106" s="102" t="n"/>
      <c r="M106" s="105" t="n"/>
      <c r="N106" s="102" t="n"/>
      <c r="O106" s="102" t="inlineStr">
        <is>
          <t>Por Mejorar</t>
        </is>
      </c>
      <c r="P106" s="102">
        <f>A106&amp;"|"&amp;O106</f>
        <v/>
      </c>
      <c r="Q106" s="102" t="inlineStr">
        <is>
          <t>Alta</t>
        </is>
      </c>
      <c r="R106" s="102">
        <f>TRIM(tbl_BasePowerBI[[#This Row],[NOMBRE EJECUTIVO]])</f>
        <v/>
      </c>
      <c r="S106" s="102" t="n"/>
      <c r="T106" s="106" t="n"/>
      <c r="U106" s="106" t="n"/>
      <c r="V106" s="160" t="n"/>
      <c r="W106" s="307" t="n">
        <v>0</v>
      </c>
      <c r="X106" s="86" t="n"/>
      <c r="Y106" s="86" t="n"/>
      <c r="Z106" s="86" t="n"/>
      <c r="AA106" s="86" t="n"/>
      <c r="AB106" s="86" t="n"/>
      <c r="AC106" s="86" t="n"/>
      <c r="AD106" s="86" t="n"/>
      <c r="AE106" s="86" t="n"/>
      <c r="AF106" s="86" t="n"/>
      <c r="AG106" s="86" t="n"/>
      <c r="AH106" s="86" t="n"/>
      <c r="AI106" s="86" t="n"/>
      <c r="AJ106" s="86" t="n">
        <v>113</v>
      </c>
      <c r="AK106" s="102" t="n"/>
      <c r="AN106" t="inlineStr">
        <is>
          <t>Consumo Masivo</t>
        </is>
      </c>
    </row>
    <row r="107" ht="30" customFormat="1" customHeight="1" s="129">
      <c r="A107" s="102" t="inlineStr">
        <is>
          <t>N4</t>
        </is>
      </c>
      <c r="B107" s="102" t="inlineStr">
        <is>
          <t>Gina Tinjacá</t>
        </is>
      </c>
      <c r="C107" s="118" t="inlineStr">
        <is>
          <t>SIKA</t>
        </is>
      </c>
      <c r="D107" s="308" t="n">
        <v>0</v>
      </c>
      <c r="E107" s="102" t="n"/>
      <c r="F107" s="102" t="n"/>
      <c r="G107" s="102" t="n"/>
      <c r="H107" s="148" t="inlineStr">
        <is>
          <t>GENERAR PROPUESTA COMERCIAL</t>
        </is>
      </c>
      <c r="I107" s="105" t="n"/>
      <c r="J107" s="102" t="n"/>
      <c r="K107" s="105" t="n"/>
      <c r="L107" s="102" t="n"/>
      <c r="M107" s="105" t="n"/>
      <c r="N107" s="102" t="n"/>
      <c r="O107" s="102" t="inlineStr">
        <is>
          <t>Por Mejorar</t>
        </is>
      </c>
      <c r="P107" s="102">
        <f>A107&amp;"|"&amp;O107</f>
        <v/>
      </c>
      <c r="Q107" s="102" t="inlineStr">
        <is>
          <t>Alta</t>
        </is>
      </c>
      <c r="R107" s="102">
        <f>TRIM(tbl_BasePowerBI[[#This Row],[NOMBRE EJECUTIVO]])</f>
        <v/>
      </c>
      <c r="S107" s="102" t="n"/>
      <c r="T107" s="106" t="n"/>
      <c r="U107" s="106" t="n"/>
      <c r="V107" s="160" t="n"/>
      <c r="W107" s="307" t="n">
        <v>0</v>
      </c>
      <c r="X107" s="86" t="n"/>
      <c r="Y107" s="86" t="n"/>
      <c r="Z107" s="86" t="n"/>
      <c r="AA107" s="86" t="n"/>
      <c r="AB107" s="86" t="n"/>
      <c r="AC107" s="86" t="n"/>
      <c r="AD107" s="86" t="n"/>
      <c r="AE107" s="86" t="n"/>
      <c r="AF107" s="86" t="n"/>
      <c r="AG107" s="86" t="n"/>
      <c r="AH107" s="86" t="n"/>
      <c r="AI107" s="86" t="n"/>
      <c r="AJ107" s="86" t="n">
        <v>114</v>
      </c>
      <c r="AK107" s="102" t="n"/>
      <c r="AN107" t="inlineStr">
        <is>
          <t>Consumo Masivo</t>
        </is>
      </c>
    </row>
    <row r="108" ht="30" customFormat="1" customHeight="1" s="129">
      <c r="A108" s="102" t="inlineStr">
        <is>
          <t>N4</t>
        </is>
      </c>
      <c r="B108" s="102" t="inlineStr">
        <is>
          <t>Gina Tinjacá</t>
        </is>
      </c>
      <c r="C108" s="118" t="inlineStr">
        <is>
          <t>UIP</t>
        </is>
      </c>
      <c r="D108" s="308" t="n">
        <v>0</v>
      </c>
      <c r="E108" s="102" t="n"/>
      <c r="F108" s="102" t="n"/>
      <c r="G108" s="102" t="n"/>
      <c r="H108" s="148" t="inlineStr">
        <is>
          <t>GENERAR PROPUESTA COMERCIAL</t>
        </is>
      </c>
      <c r="I108" s="105" t="n"/>
      <c r="J108" s="102" t="n"/>
      <c r="K108" s="105" t="n"/>
      <c r="L108" s="102" t="n"/>
      <c r="M108" s="105" t="n"/>
      <c r="N108" s="102" t="n"/>
      <c r="O108" s="102" t="inlineStr">
        <is>
          <t>Por Mejorar</t>
        </is>
      </c>
      <c r="P108" s="102">
        <f>A108&amp;"|"&amp;O108</f>
        <v/>
      </c>
      <c r="Q108" s="102" t="inlineStr">
        <is>
          <t>Alta</t>
        </is>
      </c>
      <c r="R108" s="102">
        <f>TRIM(tbl_BasePowerBI[[#This Row],[NOMBRE EJECUTIVO]])</f>
        <v/>
      </c>
      <c r="S108" s="102" t="n"/>
      <c r="T108" s="106" t="n"/>
      <c r="U108" s="106" t="n"/>
      <c r="V108" s="160" t="n"/>
      <c r="W108" s="307" t="n">
        <v>0</v>
      </c>
      <c r="X108" s="86" t="n"/>
      <c r="Y108" s="86" t="n"/>
      <c r="Z108" s="86" t="n"/>
      <c r="AA108" s="86" t="n"/>
      <c r="AB108" s="86" t="n"/>
      <c r="AC108" s="86" t="n"/>
      <c r="AD108" s="86" t="n"/>
      <c r="AE108" s="86" t="n"/>
      <c r="AF108" s="86" t="n"/>
      <c r="AG108" s="86" t="n"/>
      <c r="AH108" s="86" t="n"/>
      <c r="AI108" s="86" t="n"/>
      <c r="AJ108" s="86" t="n">
        <v>115</v>
      </c>
      <c r="AK108" s="102" t="n"/>
      <c r="AN108" t="inlineStr">
        <is>
          <t>Educación</t>
        </is>
      </c>
    </row>
    <row r="109" ht="30" customFormat="1" customHeight="1" s="129">
      <c r="A109" s="113" t="inlineStr">
        <is>
          <t>N4</t>
        </is>
      </c>
      <c r="B109" s="113" t="inlineStr">
        <is>
          <t>Karen Perez</t>
        </is>
      </c>
      <c r="C109" s="113" t="inlineStr">
        <is>
          <t>GAC</t>
        </is>
      </c>
      <c r="D109" s="313" t="n">
        <v>15000000</v>
      </c>
      <c r="E109" s="119" t="inlineStr">
        <is>
          <t>DESARROLO DE PROPUESTA DIGITAL</t>
        </is>
      </c>
      <c r="F109" s="113" t="n"/>
      <c r="G109" s="113" t="n"/>
      <c r="H109" s="119" t="inlineStr">
        <is>
          <t>Entregar la propuesta digital y su valorización al ejecutivo correspondiente.</t>
        </is>
      </c>
      <c r="I109" s="114" t="n">
        <v>100</v>
      </c>
      <c r="J109" s="119" t="inlineStr">
        <is>
          <t>Realizar seguimiento a la propuesta para conocer su estado, confirmar si se concretó el cierre e identificar oportunidades de mejora.</t>
        </is>
      </c>
      <c r="K109" s="114" t="n">
        <v>100</v>
      </c>
      <c r="L109" s="113" t="inlineStr">
        <is>
          <t>La propuesta fue aprobada por el cliente. Actualmente nos encontramos a la espera de su ejecución.</t>
        </is>
      </c>
      <c r="M109" s="114" t="n">
        <v>100</v>
      </c>
      <c r="N109" s="113" t="n"/>
      <c r="O109" s="113" t="inlineStr">
        <is>
          <t>Cerrada</t>
        </is>
      </c>
      <c r="P109" s="113">
        <f>A109&amp;"|"&amp;O109</f>
        <v/>
      </c>
      <c r="Q109" s="113" t="inlineStr">
        <is>
          <t>Media</t>
        </is>
      </c>
      <c r="R109" s="113">
        <f>TRIM(tbl_BasePowerBI[[#This Row],[NOMBRE EJECUTIVO]])</f>
        <v/>
      </c>
      <c r="S109" s="113" t="inlineStr">
        <is>
          <t>JULIO</t>
        </is>
      </c>
      <c r="T109" s="115" t="n">
        <v>46210</v>
      </c>
      <c r="U109" s="115" t="n">
        <v>46210</v>
      </c>
      <c r="V109" s="162" t="inlineStr">
        <is>
          <t>Producto_Digital-CONDUCE EL FUTURO- GAC.pptx</t>
        </is>
      </c>
      <c r="W109" s="314" t="n">
        <v>15577700</v>
      </c>
      <c r="X109" s="86" t="n"/>
      <c r="Y109" s="86" t="n"/>
      <c r="Z109" s="86" t="n"/>
      <c r="AA109" s="86" t="n"/>
      <c r="AB109" s="86" t="n"/>
      <c r="AC109" s="86" t="n"/>
      <c r="AD109" s="86" t="n"/>
      <c r="AE109" s="86" t="n"/>
      <c r="AF109" s="86" t="n"/>
      <c r="AG109" s="86" t="n"/>
      <c r="AH109" s="86" t="n"/>
      <c r="AI109" s="86" t="n"/>
      <c r="AJ109" s="86" t="n">
        <v>116</v>
      </c>
      <c r="AK109" s="102" t="inlineStr">
        <is>
          <t>Sthefanie Botello</t>
        </is>
      </c>
      <c r="AN109" t="inlineStr">
        <is>
          <t>Automotriz</t>
        </is>
      </c>
    </row>
    <row r="110" ht="30" customFormat="1" customHeight="1" s="129">
      <c r="A110" s="113" t="inlineStr">
        <is>
          <t>N4</t>
        </is>
      </c>
      <c r="B110" s="113" t="inlineStr">
        <is>
          <t>Karen Perez</t>
        </is>
      </c>
      <c r="C110" s="113" t="inlineStr">
        <is>
          <t>VALVOLINE</t>
        </is>
      </c>
      <c r="D110" s="313" t="n">
        <v>47000000</v>
      </c>
      <c r="E110" s="113" t="inlineStr">
        <is>
          <t xml:space="preserve"> franquicia Muchas Pelotas.</t>
        </is>
      </c>
      <c r="F110" s="113" t="n"/>
      <c r="G110" s="113" t="n"/>
      <c r="H110" s="119" t="inlineStr">
        <is>
          <t>Entregar la propuesta digital y su valorización al ejecutivo correspondiente.</t>
        </is>
      </c>
      <c r="I110" s="114" t="n">
        <v>100</v>
      </c>
      <c r="J110" s="113" t="inlineStr">
        <is>
          <t>Se concreta el cierre de la venta.</t>
        </is>
      </c>
      <c r="K110" s="114" t="n">
        <v>100</v>
      </c>
      <c r="L110" s="113" t="n"/>
      <c r="M110" s="114" t="n">
        <v>100</v>
      </c>
      <c r="N110" s="113" t="n"/>
      <c r="O110" s="113" t="inlineStr">
        <is>
          <t>Cerrada</t>
        </is>
      </c>
      <c r="P110" s="113">
        <f>A110&amp;"|"&amp;O110</f>
        <v/>
      </c>
      <c r="Q110" s="113" t="inlineStr">
        <is>
          <t>Media</t>
        </is>
      </c>
      <c r="R110" s="113">
        <f>TRIM(tbl_BasePowerBI[[#This Row],[NOMBRE EJECUTIVO]])</f>
        <v/>
      </c>
      <c r="S110" s="113" t="inlineStr">
        <is>
          <t>JUNIO</t>
        </is>
      </c>
      <c r="T110" s="115" t="n">
        <v>46200</v>
      </c>
      <c r="U110" s="115" t="n">
        <v>46200</v>
      </c>
      <c r="V110" s="162" t="inlineStr">
        <is>
          <t>FRANQUICIAS PRISA.pptx</t>
        </is>
      </c>
      <c r="W110" s="314" t="n">
        <v>48000000</v>
      </c>
      <c r="X110" s="86" t="n"/>
      <c r="Y110" s="86" t="n"/>
      <c r="Z110" s="86" t="n"/>
      <c r="AA110" s="86" t="n"/>
      <c r="AB110" s="86" t="n"/>
      <c r="AC110" s="86" t="n"/>
      <c r="AD110" s="86" t="n"/>
      <c r="AE110" s="86" t="n"/>
      <c r="AF110" s="86" t="n"/>
      <c r="AG110" s="86" t="n"/>
      <c r="AH110" s="86" t="n"/>
      <c r="AI110" s="86" t="n"/>
      <c r="AJ110" s="86" t="n">
        <v>118</v>
      </c>
      <c r="AK110" s="102" t="inlineStr">
        <is>
          <t>Sthefanie Botello</t>
        </is>
      </c>
      <c r="AN110" t="inlineStr">
        <is>
          <t>Automotriz</t>
        </is>
      </c>
    </row>
    <row r="111" ht="30" customFormat="1" customHeight="1" s="129">
      <c r="A111" s="98" t="inlineStr">
        <is>
          <t>N4</t>
        </is>
      </c>
      <c r="B111" s="98" t="inlineStr">
        <is>
          <t>Karen Perez</t>
        </is>
      </c>
      <c r="C111" s="98" t="inlineStr">
        <is>
          <t>FLAMINGO</t>
        </is>
      </c>
      <c r="D111" s="305" t="n">
        <v>30000000</v>
      </c>
      <c r="E111" s="98" t="inlineStr">
        <is>
          <t>PROPUESTA PARA ANIVERSARIO</t>
        </is>
      </c>
      <c r="F111" s="98" t="n"/>
      <c r="G111" s="98" t="n"/>
      <c r="H111" s="98" t="inlineStr">
        <is>
          <t>PROPUESTA GENERADA Y ENVIADA AL EJECUTIVO</t>
        </is>
      </c>
      <c r="I111" s="99" t="n">
        <v>100</v>
      </c>
      <c r="J111" s="98" t="inlineStr">
        <is>
          <t>SEGUIMIENTO</t>
        </is>
      </c>
      <c r="K111" s="99" t="n">
        <v>50</v>
      </c>
      <c r="L111" s="98" t="n"/>
      <c r="M111" s="99" t="n"/>
      <c r="N111" s="98" t="n"/>
      <c r="O111" s="98" t="inlineStr">
        <is>
          <t>En seguimiento</t>
        </is>
      </c>
      <c r="P111" s="98">
        <f>A111&amp;"|"&amp;O111</f>
        <v/>
      </c>
      <c r="Q111" s="98" t="inlineStr">
        <is>
          <t>Media</t>
        </is>
      </c>
      <c r="R111" s="98">
        <f>TRIM(tbl_BasePowerBI[[#This Row],[NOMBRE EJECUTIVO]])</f>
        <v/>
      </c>
      <c r="S111" s="98" t="inlineStr">
        <is>
          <t>JULIO</t>
        </is>
      </c>
      <c r="T111" s="100" t="n">
        <v>46217</v>
      </c>
      <c r="U111" s="100" t="n">
        <v>46217</v>
      </c>
      <c r="V111" s="157" t="inlineStr">
        <is>
          <t>https://grupoprisa-my.sharepoint.com/:p:/g/personal/juangodoy_est_caracol_com_co/IQCTvV2t-eLWQq2L9mflqXwPAfE1ADF1gSilO6Wk8SmQ5eY?CID=ad890f88-4ed8-9a0d-3c25-51ff00ffeb03&amp;SI=SentItems&amp;SLSync=F</t>
        </is>
      </c>
      <c r="W111" s="306" t="n">
        <v>27980000</v>
      </c>
      <c r="X111" s="86" t="n"/>
      <c r="Y111" s="86" t="n"/>
      <c r="Z111" s="86" t="n"/>
      <c r="AA111" s="86" t="n"/>
      <c r="AB111" s="86" t="n"/>
      <c r="AC111" s="86" t="n"/>
      <c r="AD111" s="86" t="n"/>
      <c r="AE111" s="86" t="n"/>
      <c r="AF111" s="86" t="n"/>
      <c r="AG111" s="86" t="n"/>
      <c r="AH111" s="86" t="n"/>
      <c r="AI111" s="86" t="n"/>
      <c r="AJ111" s="86" t="n">
        <v>119</v>
      </c>
      <c r="AK111" s="102" t="inlineStr">
        <is>
          <t>Juan Pablo Godoy</t>
        </is>
      </c>
      <c r="AN111" t="inlineStr">
        <is>
          <t>Moda</t>
        </is>
      </c>
    </row>
    <row r="112" ht="30" customFormat="1" customHeight="1" s="129">
      <c r="A112" s="98" t="inlineStr">
        <is>
          <t>N4</t>
        </is>
      </c>
      <c r="B112" s="98" t="inlineStr">
        <is>
          <t>Karen Perez</t>
        </is>
      </c>
      <c r="C112" s="101" t="inlineStr">
        <is>
          <t>UNIVERSIDAD DE CATALUÑA</t>
        </is>
      </c>
      <c r="D112" s="305" t="n">
        <v>15000000</v>
      </c>
      <c r="E112" s="101" t="inlineStr">
        <is>
          <t xml:space="preserve">DESARROLO DE PROPUESTA DIGITAL - FRANQUICIA PANTALLEROS </t>
        </is>
      </c>
      <c r="F112" s="98" t="n"/>
      <c r="G112" s="98" t="n"/>
      <c r="H112" s="101" t="inlineStr">
        <is>
          <t>Entregar la propuesta digital y su valorización al ejecutivo correspondiente.</t>
        </is>
      </c>
      <c r="I112" s="99" t="n">
        <v>100</v>
      </c>
      <c r="J112" s="101" t="inlineStr">
        <is>
          <t>Realizar seguimiento a la propuesta para conocer su estado, confirmar si se concretó el cierre e identificar oportunidades de mejora.</t>
        </is>
      </c>
      <c r="K112" s="99" t="n">
        <v>50</v>
      </c>
      <c r="L112" s="98" t="n"/>
      <c r="M112" s="99" t="n">
        <v>50</v>
      </c>
      <c r="N112" s="98" t="n"/>
      <c r="O112" s="98" t="inlineStr">
        <is>
          <t>En seguimiento</t>
        </is>
      </c>
      <c r="P112" s="98">
        <f>A112&amp;"|"&amp;O112</f>
        <v/>
      </c>
      <c r="Q112" s="98" t="inlineStr">
        <is>
          <t>Media</t>
        </is>
      </c>
      <c r="R112" s="98">
        <f>TRIM(tbl_BasePowerBI[[#This Row],[NOMBRE EJECUTIVO]])</f>
        <v/>
      </c>
      <c r="S112" s="98" t="inlineStr">
        <is>
          <t>JULIO</t>
        </is>
      </c>
      <c r="T112" s="100" t="n">
        <v>46217</v>
      </c>
      <c r="U112" s="106" t="n">
        <v>46218</v>
      </c>
      <c r="V112" s="159" t="inlineStr">
        <is>
          <t>PROPUESTA UNIVERSIDAD DE CATALUÑA.pptx</t>
        </is>
      </c>
      <c r="W112" s="307" t="n">
        <v>10300000</v>
      </c>
      <c r="X112" s="86" t="n"/>
      <c r="Y112" s="86" t="n"/>
      <c r="Z112" s="86" t="n"/>
      <c r="AA112" s="86" t="n"/>
      <c r="AB112" s="86" t="n"/>
      <c r="AC112" s="86" t="n"/>
      <c r="AD112" s="86" t="n"/>
      <c r="AE112" s="86" t="n"/>
      <c r="AF112" s="86" t="n"/>
      <c r="AG112" s="86" t="n"/>
      <c r="AH112" s="86" t="n"/>
      <c r="AI112" s="86" t="n"/>
      <c r="AJ112" s="86" t="n">
        <v>120</v>
      </c>
      <c r="AK112" s="102" t="inlineStr">
        <is>
          <t>Juan Pablo Godoy</t>
        </is>
      </c>
      <c r="AN112" t="inlineStr">
        <is>
          <t>Educación</t>
        </is>
      </c>
    </row>
    <row r="113" ht="63" customFormat="1" customHeight="1" s="129">
      <c r="A113" s="98" t="inlineStr">
        <is>
          <t>N5</t>
        </is>
      </c>
      <c r="B113" s="107" t="inlineStr">
        <is>
          <t>Luz Karime Hernandez</t>
        </is>
      </c>
      <c r="C113" s="98" t="inlineStr">
        <is>
          <t>HALEON</t>
        </is>
      </c>
      <c r="D113" s="305" t="n">
        <v>45700000</v>
      </c>
      <c r="E113" s="98" t="inlineStr">
        <is>
          <t xml:space="preserve">Desarrollar una propuesta altamente diferencial e innovadora que responda a sus altos estándares de aprobación y logre reactivar inversión frente a la participación activa que mantienen en otros medios. FRANQUICIA EN TENDENCIA </t>
        </is>
      </c>
      <c r="F113" s="98" t="n"/>
      <c r="G113" s="98" t="n"/>
      <c r="H113" s="101" t="inlineStr">
        <is>
          <t>GENERAR PROPUESTA COMERCIAL - FRANQUICIA EN TENDENCIA</t>
        </is>
      </c>
      <c r="I113" s="99" t="n">
        <v>100</v>
      </c>
      <c r="J113" s="101" t="inlineStr">
        <is>
          <t>Realizar seguimiento a la propuesta para conocer su estado, confirmar si se concretó el cierre e identificar oportunidades de mejora.</t>
        </is>
      </c>
      <c r="K113" s="99" t="n">
        <v>100</v>
      </c>
      <c r="L113" s="99" t="n"/>
      <c r="M113" s="99" t="n">
        <v>50</v>
      </c>
      <c r="N113" s="98" t="n"/>
      <c r="O113" s="98" t="inlineStr">
        <is>
          <t>En seguimiento</t>
        </is>
      </c>
      <c r="P113" s="98">
        <f>A113&amp;"|"&amp;O113</f>
        <v/>
      </c>
      <c r="Q113" s="98" t="inlineStr">
        <is>
          <t>Alta</t>
        </is>
      </c>
      <c r="R113" s="98" t="inlineStr">
        <is>
          <t>Luz Hernandez</t>
        </is>
      </c>
      <c r="S113" s="98" t="inlineStr">
        <is>
          <t>JUNIO</t>
        </is>
      </c>
      <c r="T113" s="100" t="n">
        <v>46203</v>
      </c>
      <c r="U113" s="106" t="n">
        <v>46203</v>
      </c>
      <c r="V113" s="159" t="inlineStr">
        <is>
          <t>PROPUESTA HALEON.pptx</t>
        </is>
      </c>
      <c r="W113" s="307" t="n">
        <v>24664200</v>
      </c>
      <c r="X113" s="86" t="n"/>
      <c r="Y113" s="86" t="n"/>
      <c r="Z113" s="86" t="inlineStr">
        <is>
          <t>DICIEMBRE</t>
        </is>
      </c>
      <c r="AA113" s="89" t="n"/>
      <c r="AB113" s="89" t="n"/>
      <c r="AC113" s="89" t="inlineStr">
        <is>
          <t>N4</t>
        </is>
      </c>
      <c r="AD113" s="89" t="inlineStr">
        <is>
          <t>Cerrada</t>
        </is>
      </c>
      <c r="AE113" s="90" t="e">
        <v>#VALUE!</v>
      </c>
      <c r="AF113" s="89" t="n"/>
      <c r="AG113" s="89">
        <f>AC113&amp;"|"&amp;AD113</f>
        <v/>
      </c>
      <c r="AH113" s="86" t="n"/>
      <c r="AI113" s="86" t="n"/>
      <c r="AJ113" s="86" t="n">
        <v>121</v>
      </c>
      <c r="AK113" s="102" t="inlineStr">
        <is>
          <t>Juan Pablo Godoy</t>
        </is>
      </c>
      <c r="AN113" t="inlineStr">
        <is>
          <t>Salud</t>
        </is>
      </c>
    </row>
    <row r="114" ht="30" customFormat="1" customHeight="1" s="129">
      <c r="A114" s="102" t="inlineStr">
        <is>
          <t>N5</t>
        </is>
      </c>
      <c r="B114" s="104" t="inlineStr">
        <is>
          <t>Luz Karime Hernandez</t>
        </is>
      </c>
      <c r="C114" s="102" t="inlineStr">
        <is>
          <t>LACTALIS</t>
        </is>
      </c>
      <c r="D114" s="308" t="n">
        <v>8000000</v>
      </c>
      <c r="E114" s="102" t="inlineStr">
        <is>
          <t xml:space="preserve">Mantener seguimiento estratégico de la cuenta y monitorear oportunidades futuras mientras persisten restricciones regulatorias que limitan la reactivación en el corto plazo. TIENE UN PROBLEMA CON INVIMA </t>
        </is>
      </c>
      <c r="F114" s="102" t="n"/>
      <c r="G114" s="102" t="n"/>
      <c r="H114" s="103" t="inlineStr">
        <is>
          <t>GENERAR PROPUESTA COMERCIAL</t>
        </is>
      </c>
      <c r="I114" s="105" t="n">
        <v>0</v>
      </c>
      <c r="J114" s="102" t="n"/>
      <c r="K114" s="105" t="n">
        <v>0</v>
      </c>
      <c r="L114" s="102" t="n"/>
      <c r="M114" s="105" t="n">
        <v>0</v>
      </c>
      <c r="N114" s="102" t="n"/>
      <c r="O114" s="102" t="inlineStr">
        <is>
          <t>Por Mejorar</t>
        </is>
      </c>
      <c r="P114" s="102">
        <f>A114&amp;"|"&amp;O114</f>
        <v/>
      </c>
      <c r="Q114" s="102" t="inlineStr">
        <is>
          <t>Alta</t>
        </is>
      </c>
      <c r="R114" s="102">
        <f>TRIM(tbl_BasePowerBI[[#This Row],[NOMBRE EJECUTIVO]])</f>
        <v/>
      </c>
      <c r="S114" s="102" t="n"/>
      <c r="T114" s="106" t="n"/>
      <c r="U114" s="106" t="n"/>
      <c r="V114" s="160" t="n"/>
      <c r="W114" s="307" t="n">
        <v>0</v>
      </c>
      <c r="X114" s="86" t="n"/>
      <c r="Y114" s="86" t="n"/>
      <c r="Z114" s="86" t="n"/>
      <c r="AA114" s="89" t="n"/>
      <c r="AB114" s="89" t="n"/>
      <c r="AC114" s="89" t="inlineStr">
        <is>
          <t>N5</t>
        </is>
      </c>
      <c r="AD114" s="89" t="inlineStr">
        <is>
          <t>Por Mejorar</t>
        </is>
      </c>
      <c r="AE114" s="90" t="e">
        <v>#VALUE!</v>
      </c>
      <c r="AF114" s="89" t="n"/>
      <c r="AG114" s="89">
        <f>AC114&amp;"|"&amp;AD114</f>
        <v/>
      </c>
      <c r="AH114" s="86" t="n"/>
      <c r="AI114" s="86" t="n"/>
      <c r="AJ114" s="86" t="n">
        <v>122</v>
      </c>
      <c r="AK114" s="102" t="n"/>
      <c r="AN114" t="inlineStr">
        <is>
          <t>Consumo Masivo</t>
        </is>
      </c>
    </row>
    <row r="115" ht="30" customFormat="1" customHeight="1" s="129">
      <c r="A115" s="102" t="inlineStr">
        <is>
          <t>N5</t>
        </is>
      </c>
      <c r="B115" s="104" t="inlineStr">
        <is>
          <t>Ana Maria Castañeda</t>
        </is>
      </c>
      <c r="C115" s="102" t="inlineStr">
        <is>
          <t>SECTOR UNIVERSITARIO</t>
        </is>
      </c>
      <c r="D115" s="308" t="n">
        <v>4000000</v>
      </c>
      <c r="E115" s="102" t="inlineStr">
        <is>
          <t>Construir estrategias de comunicación de largo plazo que permitan presencia continua durante el año y reduzcan la dependencia de campañas estacionales de matrícula.</t>
        </is>
      </c>
      <c r="F115" s="102" t="n"/>
      <c r="G115" s="102" t="n"/>
      <c r="H115" s="103" t="inlineStr">
        <is>
          <t>GENERAR PROPUESTA COMERCIAL</t>
        </is>
      </c>
      <c r="I115" s="105" t="n">
        <v>0</v>
      </c>
      <c r="J115" s="102" t="n"/>
      <c r="K115" s="105" t="n">
        <v>0</v>
      </c>
      <c r="L115" s="102" t="n"/>
      <c r="M115" s="105" t="n">
        <v>0</v>
      </c>
      <c r="N115" s="102" t="n"/>
      <c r="O115" s="102" t="inlineStr">
        <is>
          <t>Por Mejorar</t>
        </is>
      </c>
      <c r="P115" s="102">
        <f>A115&amp;"|"&amp;O115</f>
        <v/>
      </c>
      <c r="Q115" s="102" t="inlineStr">
        <is>
          <t>Alta</t>
        </is>
      </c>
      <c r="R115" s="102">
        <f>TRIM(tbl_BasePowerBI[[#This Row],[NOMBRE EJECUTIVO]])</f>
        <v/>
      </c>
      <c r="S115" s="102" t="n"/>
      <c r="T115" s="106" t="n"/>
      <c r="U115" s="106" t="n"/>
      <c r="V115" s="160" t="n"/>
      <c r="W115" s="307" t="n">
        <v>0</v>
      </c>
      <c r="X115" s="86" t="n"/>
      <c r="Y115" s="86" t="n"/>
      <c r="Z115" s="86" t="n"/>
      <c r="AA115" s="89" t="n"/>
      <c r="AB115" s="89" t="n"/>
      <c r="AC115" s="89" t="inlineStr">
        <is>
          <t>N5</t>
        </is>
      </c>
      <c r="AD115" s="89" t="inlineStr">
        <is>
          <t>En seguimiento</t>
        </is>
      </c>
      <c r="AE115" s="90" t="e">
        <v>#VALUE!</v>
      </c>
      <c r="AF115" s="89" t="n"/>
      <c r="AG115" s="89">
        <f>AC115&amp;"|"&amp;AD115</f>
        <v/>
      </c>
      <c r="AH115" s="86" t="n"/>
      <c r="AI115" s="86" t="n"/>
      <c r="AJ115" s="86" t="n">
        <v>123</v>
      </c>
      <c r="AK115" s="102" t="n"/>
      <c r="AN115" t="inlineStr">
        <is>
          <t>Educación</t>
        </is>
      </c>
    </row>
    <row r="116" ht="30" customFormat="1" customHeight="1" s="129">
      <c r="A116" s="102" t="inlineStr">
        <is>
          <t>N5</t>
        </is>
      </c>
      <c r="B116" s="104" t="inlineStr">
        <is>
          <t>Ana Maria Castañeda</t>
        </is>
      </c>
      <c r="C116" s="102" t="inlineStr">
        <is>
          <t>AR CONSTRUCCIONES</t>
        </is>
      </c>
      <c r="D116" s="308" t="n">
        <v>0</v>
      </c>
      <c r="E116" s="102" t="inlineStr">
        <is>
          <t>Demostrar el valor de las plataformas de PRISA más allá de la radio tradicional, conectando soluciones comerciales con sus objetivos de negocio y generación de resultados.</t>
        </is>
      </c>
      <c r="F116" s="102" t="n"/>
      <c r="G116" s="102" t="n"/>
      <c r="H116" s="103" t="inlineStr">
        <is>
          <t>GENERAR PROPUESTA COMERCIAL</t>
        </is>
      </c>
      <c r="I116" s="105" t="n">
        <v>0</v>
      </c>
      <c r="J116" s="102" t="n"/>
      <c r="K116" s="105" t="n">
        <v>0</v>
      </c>
      <c r="L116" s="102" t="n"/>
      <c r="M116" s="105" t="n">
        <v>0</v>
      </c>
      <c r="N116" s="102" t="n"/>
      <c r="O116" s="102" t="inlineStr">
        <is>
          <t>Por Mejorar</t>
        </is>
      </c>
      <c r="P116" s="102">
        <f>A116&amp;"|"&amp;O116</f>
        <v/>
      </c>
      <c r="Q116" s="102" t="inlineStr">
        <is>
          <t>Alta</t>
        </is>
      </c>
      <c r="R116" s="102">
        <f>TRIM(tbl_BasePowerBI[[#This Row],[NOMBRE EJECUTIVO]])</f>
        <v/>
      </c>
      <c r="S116" s="102" t="n"/>
      <c r="T116" s="106" t="n"/>
      <c r="U116" s="106" t="n"/>
      <c r="V116" s="160" t="n"/>
      <c r="W116" s="307" t="n">
        <v>0</v>
      </c>
      <c r="X116" s="86" t="n"/>
      <c r="Y116" s="86" t="n"/>
      <c r="Z116" s="86" t="n"/>
      <c r="AA116" s="89" t="n"/>
      <c r="AB116" s="89" t="n"/>
      <c r="AC116" s="89" t="inlineStr">
        <is>
          <t>N5</t>
        </is>
      </c>
      <c r="AD116" s="89" t="inlineStr">
        <is>
          <t>Cerrada</t>
        </is>
      </c>
      <c r="AE116" s="90" t="e">
        <v>#VALUE!</v>
      </c>
      <c r="AF116" s="89" t="n"/>
      <c r="AG116" s="89">
        <f>AC116&amp;"|"&amp;AD116</f>
        <v/>
      </c>
      <c r="AH116" s="86" t="n"/>
      <c r="AI116" s="86" t="n"/>
      <c r="AJ116" s="86" t="n">
        <v>124</v>
      </c>
      <c r="AK116" s="102" t="n"/>
      <c r="AN116" t="inlineStr">
        <is>
          <t>Inmobiliario</t>
        </is>
      </c>
    </row>
    <row r="117" ht="44.25" customFormat="1" customHeight="1" s="129">
      <c r="A117" s="102" t="inlineStr">
        <is>
          <t>N5</t>
        </is>
      </c>
      <c r="B117" s="104" t="inlineStr">
        <is>
          <t>Ana Maria Castañeda</t>
        </is>
      </c>
      <c r="C117" s="102" t="inlineStr">
        <is>
          <t>CONSTRUCTORA GALIAS</t>
        </is>
      </c>
      <c r="D117" s="308" t="n">
        <v>0</v>
      </c>
      <c r="E117" s="102" t="inlineStr">
        <is>
          <t>Presentar propuestas innovadoras y diferenciadas que incentiven el retorno de inversión y reactiven la relación comercial.</t>
        </is>
      </c>
      <c r="F117" s="102" t="n"/>
      <c r="G117" s="102" t="n"/>
      <c r="H117" s="103" t="inlineStr">
        <is>
          <t>GENERAR PROPUESTA COMERCIAL</t>
        </is>
      </c>
      <c r="I117" s="105" t="n">
        <v>0</v>
      </c>
      <c r="J117" s="102" t="n"/>
      <c r="K117" s="105" t="n">
        <v>0</v>
      </c>
      <c r="L117" s="102" t="n"/>
      <c r="M117" s="105" t="n">
        <v>0</v>
      </c>
      <c r="N117" s="102" t="n"/>
      <c r="O117" s="102" t="inlineStr">
        <is>
          <t>Por Mejorar</t>
        </is>
      </c>
      <c r="P117" s="102">
        <f>A117&amp;"|"&amp;O117</f>
        <v/>
      </c>
      <c r="Q117" s="102" t="inlineStr">
        <is>
          <t>Alta</t>
        </is>
      </c>
      <c r="R117" s="102">
        <f>TRIM(tbl_BasePowerBI[[#This Row],[NOMBRE EJECUTIVO]])</f>
        <v/>
      </c>
      <c r="S117" s="102" t="n"/>
      <c r="T117" s="106" t="n"/>
      <c r="U117" s="106" t="n"/>
      <c r="V117" s="160" t="n"/>
      <c r="W117" s="307" t="n">
        <v>0</v>
      </c>
      <c r="X117" s="86" t="n"/>
      <c r="Y117" s="86" t="n"/>
      <c r="Z117" s="86" t="n"/>
      <c r="AA117" s="86" t="n"/>
      <c r="AB117" s="86" t="n"/>
      <c r="AC117" s="86" t="n"/>
      <c r="AD117" s="86" t="n"/>
      <c r="AE117" s="86" t="n"/>
      <c r="AF117" s="86" t="n"/>
      <c r="AG117" s="86" t="n"/>
      <c r="AH117" s="86" t="n"/>
      <c r="AI117" s="86" t="n"/>
      <c r="AJ117" s="86" t="n">
        <v>125</v>
      </c>
      <c r="AK117" s="102" t="n"/>
      <c r="AN117" t="inlineStr">
        <is>
          <t>Inmobiliario</t>
        </is>
      </c>
    </row>
    <row r="118" ht="30" customHeight="1">
      <c r="A118" s="102" t="inlineStr">
        <is>
          <t>N5</t>
        </is>
      </c>
      <c r="B118" s="104" t="inlineStr">
        <is>
          <t>Ana Maria Castañeda</t>
        </is>
      </c>
      <c r="C118" s="102" t="inlineStr">
        <is>
          <t>Cromantic y Aruma</t>
        </is>
      </c>
      <c r="D118" s="308" t="n">
        <v>0</v>
      </c>
      <c r="E118" s="102" t="inlineStr">
        <is>
          <t>Diseñar iniciativas creativas que complementen sus estrategias digitales actuales y aumenten la participación de inversión en nuestros medios.</t>
        </is>
      </c>
      <c r="F118" s="102" t="n"/>
      <c r="G118" s="102" t="n"/>
      <c r="H118" s="103" t="inlineStr">
        <is>
          <t>GENERAR PROPUESTA COMERCIAL</t>
        </is>
      </c>
      <c r="I118" s="105" t="n">
        <v>0</v>
      </c>
      <c r="J118" s="102" t="n"/>
      <c r="K118" s="105" t="n">
        <v>0</v>
      </c>
      <c r="L118" s="102" t="n"/>
      <c r="M118" s="105" t="n">
        <v>0</v>
      </c>
      <c r="N118" s="102" t="n"/>
      <c r="O118" s="102" t="inlineStr">
        <is>
          <t>Por Mejorar</t>
        </is>
      </c>
      <c r="P118" s="102">
        <f>A118&amp;"|"&amp;O118</f>
        <v/>
      </c>
      <c r="Q118" s="102" t="inlineStr">
        <is>
          <t>Alta</t>
        </is>
      </c>
      <c r="R118" s="102">
        <f>TRIM(tbl_BasePowerBI[[#This Row],[NOMBRE EJECUTIVO]])</f>
        <v/>
      </c>
      <c r="S118" s="102" t="n"/>
      <c r="T118" s="106" t="n"/>
      <c r="U118" s="106" t="n"/>
      <c r="V118" s="160" t="n"/>
      <c r="W118" s="307" t="n">
        <v>0</v>
      </c>
      <c r="X118" s="86" t="n"/>
      <c r="Y118" s="86" t="n"/>
      <c r="Z118" s="86" t="n"/>
      <c r="AA118" s="86" t="n"/>
      <c r="AB118" s="86" t="n"/>
      <c r="AC118" s="86" t="n"/>
      <c r="AD118" s="86" t="n"/>
      <c r="AE118" s="86" t="n"/>
      <c r="AF118" s="86" t="n"/>
      <c r="AG118" s="86" t="n"/>
      <c r="AJ118" s="86" t="n">
        <v>126</v>
      </c>
      <c r="AK118" s="97" t="n"/>
      <c r="AN118" t="inlineStr">
        <is>
          <t>Moda</t>
        </is>
      </c>
    </row>
    <row r="119" ht="30" customHeight="1">
      <c r="A119" s="102" t="inlineStr">
        <is>
          <t>N5</t>
        </is>
      </c>
      <c r="B119" s="104" t="inlineStr">
        <is>
          <t xml:space="preserve">Carol Beltan </t>
        </is>
      </c>
      <c r="C119" s="102" t="inlineStr">
        <is>
          <t>CUSEZAR</t>
        </is>
      </c>
      <c r="D119" s="308" t="n">
        <v>0</v>
      </c>
      <c r="E119" s="102" t="inlineStr">
        <is>
          <t>Desarrollar la cuenta mediante propuestas diferenciadoras que fortalezcan la relación y generen crecimiento sostenido de inversión.</t>
        </is>
      </c>
      <c r="F119" s="102" t="n"/>
      <c r="G119" s="102" t="n"/>
      <c r="H119" s="103" t="inlineStr">
        <is>
          <t>GENERAR PROPUESTA COMERCIAL</t>
        </is>
      </c>
      <c r="I119" s="105" t="n">
        <v>0</v>
      </c>
      <c r="J119" s="102" t="n"/>
      <c r="K119" s="105" t="n">
        <v>0</v>
      </c>
      <c r="L119" s="102" t="n"/>
      <c r="M119" s="105" t="n">
        <v>0</v>
      </c>
      <c r="N119" s="102" t="n"/>
      <c r="O119" s="102" t="inlineStr">
        <is>
          <t>Por Mejorar</t>
        </is>
      </c>
      <c r="P119" s="102">
        <f>A119&amp;"|"&amp;O119</f>
        <v/>
      </c>
      <c r="Q119" s="102" t="inlineStr">
        <is>
          <t>Alta</t>
        </is>
      </c>
      <c r="R119" s="102">
        <f>TRIM(tbl_BasePowerBI[[#This Row],[NOMBRE EJECUTIVO]])</f>
        <v/>
      </c>
      <c r="S119" s="102" t="n"/>
      <c r="T119" s="106" t="n"/>
      <c r="U119" s="106" t="n"/>
      <c r="V119" s="160" t="n"/>
      <c r="W119" s="307" t="n">
        <v>0</v>
      </c>
      <c r="X119" s="86" t="n"/>
      <c r="Y119" s="86" t="n"/>
      <c r="Z119" s="86" t="n"/>
      <c r="AA119" s="86" t="n"/>
      <c r="AB119" s="86" t="n"/>
      <c r="AC119" s="86" t="n"/>
      <c r="AD119" s="86" t="n"/>
      <c r="AE119" s="86" t="n"/>
      <c r="AF119" s="86" t="n"/>
      <c r="AG119" s="86" t="n"/>
      <c r="AJ119" s="86" t="n">
        <v>127</v>
      </c>
      <c r="AK119" s="97" t="n"/>
      <c r="AL119" s="129" t="n"/>
      <c r="AN119" t="inlineStr">
        <is>
          <t>Inmobiliario</t>
        </is>
      </c>
    </row>
    <row r="120" ht="30" customHeight="1">
      <c r="A120" s="102" t="inlineStr">
        <is>
          <t>N5</t>
        </is>
      </c>
      <c r="B120" s="104" t="inlineStr">
        <is>
          <t xml:space="preserve">Carol Beltan </t>
        </is>
      </c>
      <c r="C120" s="102" t="inlineStr">
        <is>
          <t>CEMEX</t>
        </is>
      </c>
      <c r="D120" s="308" t="n">
        <v>0</v>
      </c>
      <c r="E120" s="102" t="inlineStr">
        <is>
          <t>Construir relacionamiento comercial y generar oportunidades desde una etapa temprana de exploración para consolidar futuras inversiones.</t>
        </is>
      </c>
      <c r="F120" s="102" t="n"/>
      <c r="G120" s="102" t="n"/>
      <c r="H120" s="103" t="inlineStr">
        <is>
          <t>GENERAR PROPUESTA COMERCIAL</t>
        </is>
      </c>
      <c r="I120" s="105" t="n">
        <v>0</v>
      </c>
      <c r="J120" s="102" t="n"/>
      <c r="K120" s="105" t="n">
        <v>0</v>
      </c>
      <c r="L120" s="102" t="n"/>
      <c r="M120" s="105" t="n">
        <v>0</v>
      </c>
      <c r="N120" s="102" t="n"/>
      <c r="O120" s="102" t="inlineStr">
        <is>
          <t>Por Mejorar</t>
        </is>
      </c>
      <c r="P120" s="102">
        <f>A120&amp;"|"&amp;O120</f>
        <v/>
      </c>
      <c r="Q120" s="102" t="inlineStr">
        <is>
          <t>Alta</t>
        </is>
      </c>
      <c r="R120" s="102">
        <f>TRIM(tbl_BasePowerBI[[#This Row],[NOMBRE EJECUTIVO]])</f>
        <v/>
      </c>
      <c r="S120" s="102" t="n"/>
      <c r="T120" s="106" t="n"/>
      <c r="U120" s="106" t="n"/>
      <c r="V120" s="160" t="n"/>
      <c r="W120" s="307" t="n">
        <v>0</v>
      </c>
      <c r="X120" s="86" t="n"/>
      <c r="Y120" s="86" t="n"/>
      <c r="Z120" s="86" t="n"/>
      <c r="AA120" s="86" t="n"/>
      <c r="AB120" s="86" t="n"/>
      <c r="AC120" s="86" t="n"/>
      <c r="AD120" s="86" t="n"/>
      <c r="AE120" s="86" t="n"/>
      <c r="AF120" s="86" t="n"/>
      <c r="AG120" s="86" t="n"/>
      <c r="AJ120" s="86" t="n">
        <v>128</v>
      </c>
      <c r="AK120" s="97" t="n"/>
      <c r="AN120" t="inlineStr">
        <is>
          <t>Inmobiliario</t>
        </is>
      </c>
    </row>
    <row r="121" ht="30" customHeight="1">
      <c r="A121" s="102" t="inlineStr">
        <is>
          <t>N5</t>
        </is>
      </c>
      <c r="B121" s="104" t="inlineStr">
        <is>
          <t xml:space="preserve">Carol Beltan </t>
        </is>
      </c>
      <c r="C121" s="102" t="inlineStr">
        <is>
          <t>DISTRITO SALVAJE</t>
        </is>
      </c>
      <c r="D121" s="308" t="n">
        <v>0</v>
      </c>
      <c r="E121" s="102" t="inlineStr">
        <is>
          <t>Impulsar el desarrollo de la cuenta mediante acciones de valor que fortalezcan el posicionamiento de marca y generen nuevas oportunidades comerciales. NO TIENEN CONTACTO CON EL GERENTE</t>
        </is>
      </c>
      <c r="F121" s="102" t="n"/>
      <c r="G121" s="102" t="n"/>
      <c r="H121" s="103" t="inlineStr">
        <is>
          <t>GENERAR PROPUESTA COMERCIAL</t>
        </is>
      </c>
      <c r="I121" s="105" t="n">
        <v>0</v>
      </c>
      <c r="J121" s="102" t="n"/>
      <c r="K121" s="105" t="n">
        <v>0</v>
      </c>
      <c r="L121" s="102" t="n"/>
      <c r="M121" s="105" t="n">
        <v>0</v>
      </c>
      <c r="N121" s="102" t="n"/>
      <c r="O121" s="102" t="inlineStr">
        <is>
          <t>Por Mejorar</t>
        </is>
      </c>
      <c r="P121" s="102">
        <f>A121&amp;"|"&amp;O121</f>
        <v/>
      </c>
      <c r="Q121" s="102" t="inlineStr">
        <is>
          <t>Alta</t>
        </is>
      </c>
      <c r="R121" s="102">
        <f>TRIM(tbl_BasePowerBI[[#This Row],[NOMBRE EJECUTIVO]])</f>
        <v/>
      </c>
      <c r="S121" s="102" t="n"/>
      <c r="T121" s="106" t="n"/>
      <c r="U121" s="106" t="n"/>
      <c r="V121" s="160" t="n"/>
      <c r="W121" s="307" t="n">
        <v>0</v>
      </c>
      <c r="X121" s="86" t="n"/>
      <c r="Y121" s="86" t="n"/>
      <c r="Z121" s="86" t="n"/>
      <c r="AA121" s="86" t="n"/>
      <c r="AB121" s="86" t="n"/>
      <c r="AC121" s="86" t="n"/>
      <c r="AD121" s="86" t="n"/>
      <c r="AE121" s="86" t="n"/>
      <c r="AF121" s="86" t="n"/>
      <c r="AG121" s="86" t="n"/>
      <c r="AJ121" s="86" t="n">
        <v>129</v>
      </c>
      <c r="AK121" s="97" t="n"/>
      <c r="AN121" t="inlineStr">
        <is>
          <t>Entretenimiento</t>
        </is>
      </c>
    </row>
    <row r="122" ht="30" customHeight="1">
      <c r="A122" s="102" t="inlineStr">
        <is>
          <t>N5</t>
        </is>
      </c>
      <c r="B122" s="104" t="inlineStr">
        <is>
          <t xml:space="preserve">Raul Herrera </t>
        </is>
      </c>
      <c r="C122" s="102" t="inlineStr">
        <is>
          <t>VIAJES FALABELLA</t>
        </is>
      </c>
      <c r="D122" s="308" t="n">
        <v>0</v>
      </c>
      <c r="E122" s="102" t="inlineStr">
        <is>
          <t>Desarrollar estrategias enfocadas y alineadas con objetivos de negocio para incrementar progresivamente su nivel de inversión.</t>
        </is>
      </c>
      <c r="F122" s="102" t="n"/>
      <c r="G122" s="102" t="n"/>
      <c r="H122" s="103" t="inlineStr">
        <is>
          <t>GENERAR PROPUESTA COMERCIAL</t>
        </is>
      </c>
      <c r="I122" s="105" t="n">
        <v>0</v>
      </c>
      <c r="J122" s="102" t="n"/>
      <c r="K122" s="105" t="n">
        <v>0</v>
      </c>
      <c r="L122" s="102" t="n"/>
      <c r="M122" s="105" t="n">
        <v>0</v>
      </c>
      <c r="N122" s="102" t="n"/>
      <c r="O122" s="102" t="inlineStr">
        <is>
          <t>Por Mejorar</t>
        </is>
      </c>
      <c r="P122" s="102">
        <f>A122&amp;"|"&amp;O122</f>
        <v/>
      </c>
      <c r="Q122" s="102" t="inlineStr">
        <is>
          <t>Alta</t>
        </is>
      </c>
      <c r="R122" s="102">
        <f>TRIM(tbl_BasePowerBI[[#This Row],[NOMBRE EJECUTIVO]])</f>
        <v/>
      </c>
      <c r="S122" s="102" t="n"/>
      <c r="T122" s="106" t="n"/>
      <c r="U122" s="106" t="n"/>
      <c r="V122" s="160" t="n"/>
      <c r="W122" s="307" t="n">
        <v>0</v>
      </c>
      <c r="X122" s="86" t="n"/>
      <c r="Y122" s="86" t="n"/>
      <c r="Z122" s="86" t="n"/>
      <c r="AA122" s="86" t="n"/>
      <c r="AB122" s="86" t="n"/>
      <c r="AC122" s="86" t="n"/>
      <c r="AD122" s="86" t="n"/>
      <c r="AE122" s="86" t="n"/>
      <c r="AF122" s="86" t="n"/>
      <c r="AG122" s="86" t="n"/>
      <c r="AJ122" s="86" t="n">
        <v>130</v>
      </c>
      <c r="AK122" s="97" t="n"/>
      <c r="AL122" s="129" t="n"/>
      <c r="AN122" t="inlineStr">
        <is>
          <t>Viajes</t>
        </is>
      </c>
    </row>
    <row r="123" ht="53.25" customHeight="1">
      <c r="A123" s="102" t="inlineStr">
        <is>
          <t>N5</t>
        </is>
      </c>
      <c r="B123" s="104" t="inlineStr">
        <is>
          <t xml:space="preserve">Raul Herrera </t>
        </is>
      </c>
      <c r="C123" s="102" t="inlineStr">
        <is>
          <t>MOVISTAR</t>
        </is>
      </c>
      <c r="D123" s="308" t="n">
        <v>0</v>
      </c>
      <c r="E123" s="102" t="inlineStr">
        <is>
          <t>Identificar alternativas comerciales que compensen la reducción de inversión derivada del proceso de integración con Tigo y sostener participación en la categoría.</t>
        </is>
      </c>
      <c r="F123" s="102" t="n"/>
      <c r="G123" s="102" t="n"/>
      <c r="H123" s="103" t="inlineStr">
        <is>
          <t>GENERAR PROPUESTA COMERCIAL</t>
        </is>
      </c>
      <c r="I123" s="105" t="n">
        <v>0</v>
      </c>
      <c r="J123" s="102" t="n"/>
      <c r="K123" s="105" t="n">
        <v>0</v>
      </c>
      <c r="L123" s="102" t="n"/>
      <c r="M123" s="105" t="n">
        <v>0</v>
      </c>
      <c r="N123" s="102" t="n"/>
      <c r="O123" s="102" t="inlineStr">
        <is>
          <t>Por Mejorar</t>
        </is>
      </c>
      <c r="P123" s="102">
        <f>A123&amp;"|"&amp;O123</f>
        <v/>
      </c>
      <c r="Q123" s="102" t="inlineStr">
        <is>
          <t>Alta</t>
        </is>
      </c>
      <c r="R123" s="102">
        <f>TRIM(tbl_BasePowerBI[[#This Row],[NOMBRE EJECUTIVO]])</f>
        <v/>
      </c>
      <c r="S123" s="102" t="n"/>
      <c r="T123" s="106" t="n"/>
      <c r="U123" s="106" t="n"/>
      <c r="V123" s="160" t="n"/>
      <c r="W123" s="307" t="n">
        <v>0</v>
      </c>
      <c r="X123" s="86" t="n"/>
      <c r="Y123" s="86" t="n"/>
      <c r="Z123" s="86" t="n"/>
      <c r="AA123" s="86" t="n"/>
      <c r="AB123" s="86" t="n"/>
      <c r="AC123" s="86" t="n"/>
      <c r="AD123" s="86" t="n"/>
      <c r="AE123" s="86" t="n"/>
      <c r="AF123" s="86" t="n"/>
      <c r="AG123" s="86" t="n"/>
      <c r="AJ123" s="86" t="n">
        <v>131</v>
      </c>
      <c r="AK123" s="97" t="n"/>
      <c r="AL123" s="129" t="n"/>
      <c r="AN123" t="inlineStr">
        <is>
          <t>Tecnología</t>
        </is>
      </c>
    </row>
    <row r="124" ht="30" customHeight="1">
      <c r="A124" s="98" t="inlineStr">
        <is>
          <t>N5</t>
        </is>
      </c>
      <c r="B124" s="98" t="inlineStr">
        <is>
          <t xml:space="preserve">Carol Beltan </t>
        </is>
      </c>
      <c r="C124" s="98" t="inlineStr">
        <is>
          <t>TA•DA</t>
        </is>
      </c>
      <c r="D124" s="305" t="n">
        <v>50000000</v>
      </c>
      <c r="E124" s="98" t="inlineStr">
        <is>
          <t>PROPUESTA DIGITAL - DINAMICA DE SUBASTA</t>
        </is>
      </c>
      <c r="F124" s="98" t="n"/>
      <c r="G124" s="98" t="n"/>
      <c r="H124" s="101" t="inlineStr">
        <is>
          <t>GENERAR PROPUESTA COMERCIAL</t>
        </is>
      </c>
      <c r="I124" s="99" t="n">
        <v>100</v>
      </c>
      <c r="J124" s="101" t="inlineStr">
        <is>
          <t>Realizar seguimiento a la propuesta para conocer su estado, confirmar si se concretó el cierre e identificar oportunidades de mejora.</t>
        </is>
      </c>
      <c r="K124" s="99" t="n">
        <v>100</v>
      </c>
      <c r="L124" s="98" t="inlineStr">
        <is>
          <t xml:space="preserve">SIN CAMBIOS </t>
        </is>
      </c>
      <c r="M124" s="99" t="n">
        <v>100</v>
      </c>
      <c r="N124" s="98" t="n"/>
      <c r="O124" s="98" t="inlineStr">
        <is>
          <t>En seguimiento</t>
        </is>
      </c>
      <c r="P124" s="98">
        <f>A124&amp;"|"&amp;O124</f>
        <v/>
      </c>
      <c r="Q124" s="98" t="inlineStr">
        <is>
          <t>Baja</t>
        </is>
      </c>
      <c r="R124" s="98">
        <f>TRIM(tbl_BasePowerBI[[#This Row],[NOMBRE EJECUTIVO]])</f>
        <v/>
      </c>
      <c r="S124" s="98" t="inlineStr">
        <is>
          <t>JUNIO</t>
        </is>
      </c>
      <c r="T124" s="100" t="n">
        <v>46174</v>
      </c>
      <c r="U124" s="100" t="n">
        <v>46174</v>
      </c>
      <c r="V124" s="157" t="inlineStr">
        <is>
          <t>PRODUCTO DIGITAL - TA•DA.pptx</t>
        </is>
      </c>
      <c r="W124" s="307" t="n">
        <v>60000000</v>
      </c>
      <c r="X124" s="86" t="n"/>
      <c r="Y124" s="86" t="n"/>
      <c r="Z124" s="86" t="n"/>
      <c r="AA124" s="86" t="n"/>
      <c r="AB124" s="86" t="n"/>
      <c r="AC124" s="86" t="n"/>
      <c r="AD124" s="86" t="n"/>
      <c r="AE124" s="86" t="n"/>
      <c r="AF124" s="86" t="n"/>
      <c r="AG124" s="86" t="n"/>
      <c r="AJ124" s="86" t="n">
        <v>132</v>
      </c>
      <c r="AK124" s="97" t="inlineStr">
        <is>
          <t>Sthefanie Botello</t>
        </is>
      </c>
      <c r="AL124" s="129" t="n"/>
      <c r="AN124" t="inlineStr">
        <is>
          <t>Moda</t>
        </is>
      </c>
    </row>
    <row r="125" ht="30" customHeight="1">
      <c r="A125" s="113" t="inlineStr">
        <is>
          <t>N5</t>
        </is>
      </c>
      <c r="B125" s="113" t="inlineStr">
        <is>
          <t xml:space="preserve">Carol Beltan </t>
        </is>
      </c>
      <c r="C125" s="113" t="inlineStr">
        <is>
          <t>BAVARIA</t>
        </is>
      </c>
      <c r="D125" s="313" t="n">
        <v>20000000</v>
      </c>
      <c r="E125" s="113" t="inlineStr">
        <is>
          <t>PROPUESTA DIGITAL LA RUTA DEL GOL</t>
        </is>
      </c>
      <c r="F125" s="113" t="n"/>
      <c r="G125" s="113" t="n"/>
      <c r="H125" s="119" t="inlineStr">
        <is>
          <t>GENERAR PROPUESTA COMERCIAL</t>
        </is>
      </c>
      <c r="I125" s="114" t="n">
        <v>100</v>
      </c>
      <c r="J125" s="119" t="inlineStr">
        <is>
          <t>Realizar seguimiento a la propuesta para conocer su estado, confirmar si se concretó el cierre e identificar oportunidades de mejora.</t>
        </is>
      </c>
      <c r="K125" s="114" t="n">
        <v>100</v>
      </c>
      <c r="L125" s="113" t="inlineStr">
        <is>
          <t>SIN CAMBIOS</t>
        </is>
      </c>
      <c r="M125" s="114" t="n">
        <v>100</v>
      </c>
      <c r="N125" s="113" t="n"/>
      <c r="O125" s="113" t="inlineStr">
        <is>
          <t>Cerrada</t>
        </is>
      </c>
      <c r="P125" s="113">
        <f>A125&amp;"|"&amp;O125</f>
        <v/>
      </c>
      <c r="Q125" s="113" t="inlineStr">
        <is>
          <t>Baja</t>
        </is>
      </c>
      <c r="R125" s="113">
        <f>TRIM(tbl_BasePowerBI[[#This Row],[NOMBRE EJECUTIVO]])</f>
        <v/>
      </c>
      <c r="S125" s="113" t="inlineStr">
        <is>
          <t>JUNIO</t>
        </is>
      </c>
      <c r="T125" s="115" t="n">
        <v>46182</v>
      </c>
      <c r="U125" s="115" t="n">
        <v>46182</v>
      </c>
      <c r="V125" s="165" t="n"/>
      <c r="W125" s="307" t="n">
        <v>18000000</v>
      </c>
      <c r="X125" s="86" t="n"/>
      <c r="Y125" s="86" t="n"/>
      <c r="Z125" s="86" t="n"/>
      <c r="AA125" s="86" t="n"/>
      <c r="AB125" s="86" t="n"/>
      <c r="AC125" s="86" t="n"/>
      <c r="AD125" s="86" t="n"/>
      <c r="AE125" s="86" t="n"/>
      <c r="AF125" s="86" t="n"/>
      <c r="AG125" s="86" t="n"/>
      <c r="AJ125" s="86" t="n">
        <v>133</v>
      </c>
      <c r="AK125" s="97" t="inlineStr">
        <is>
          <t>Sthefanie Botello</t>
        </is>
      </c>
      <c r="AL125" s="129" t="n"/>
      <c r="AN125" t="inlineStr">
        <is>
          <t>Consumo Masivo</t>
        </is>
      </c>
    </row>
    <row r="126" ht="30" customHeight="1">
      <c r="A126" s="98" t="inlineStr">
        <is>
          <t>N5</t>
        </is>
      </c>
      <c r="B126" s="98" t="inlineStr">
        <is>
          <t xml:space="preserve">Carol Beltan </t>
        </is>
      </c>
      <c r="C126" s="98" t="inlineStr">
        <is>
          <t>AMALFITANA</t>
        </is>
      </c>
      <c r="D126" s="305" t="n">
        <v>40000000</v>
      </c>
      <c r="E126" s="98" t="inlineStr">
        <is>
          <t>PROPUESTA DUGITAL CON DOS PUNTOS MAS FRANQUICIA DE PROBANDO PROBANDO</t>
        </is>
      </c>
      <c r="F126" s="98" t="n"/>
      <c r="G126" s="98" t="n"/>
      <c r="H126" s="101" t="inlineStr">
        <is>
          <t>GENERAR PROPUESTA COMERCIAL</t>
        </is>
      </c>
      <c r="I126" s="101" t="n">
        <v>100</v>
      </c>
      <c r="J126" s="101" t="inlineStr">
        <is>
          <t>Realizar seguimiento a la propuesta para conocer su estado, confirmar si se concretó el cierre e identificar oportunidades de mejora.</t>
        </is>
      </c>
      <c r="K126" s="99" t="n">
        <v>100</v>
      </c>
      <c r="L126" s="98" t="inlineStr">
        <is>
          <t>SIN CAMBIOS</t>
        </is>
      </c>
      <c r="M126" s="99" t="n">
        <v>50</v>
      </c>
      <c r="N126" s="98" t="n"/>
      <c r="O126" s="98" t="inlineStr">
        <is>
          <t>En seguimiento</t>
        </is>
      </c>
      <c r="P126" s="98">
        <f>A126&amp;"|"&amp;O126</f>
        <v/>
      </c>
      <c r="Q126" s="98" t="inlineStr">
        <is>
          <t>Media</t>
        </is>
      </c>
      <c r="R126" s="98" t="inlineStr">
        <is>
          <t>Carol Beltran</t>
        </is>
      </c>
      <c r="S126" s="98" t="inlineStr">
        <is>
          <t>JUNIO</t>
        </is>
      </c>
      <c r="T126" s="100" t="n">
        <v>46199</v>
      </c>
      <c r="U126" s="106" t="n">
        <v>46195</v>
      </c>
      <c r="V126" s="157" t="inlineStr">
        <is>
          <t>PRODUCTO DIGITAL - AMALFITANA.pptx</t>
        </is>
      </c>
      <c r="W126" s="307" t="n">
        <v>45000000</v>
      </c>
      <c r="X126" s="86" t="n"/>
      <c r="Y126" s="86" t="n"/>
      <c r="Z126" s="86" t="n"/>
      <c r="AA126" s="86" t="n"/>
      <c r="AB126" s="86" t="n"/>
      <c r="AC126" s="86" t="n"/>
      <c r="AD126" s="86" t="n"/>
      <c r="AE126" s="86" t="n"/>
      <c r="AF126" s="86" t="n"/>
      <c r="AG126" s="86" t="n"/>
      <c r="AJ126" s="86" t="n">
        <v>134</v>
      </c>
      <c r="AK126" s="97" t="inlineStr">
        <is>
          <t>Sthefanie Botello</t>
        </is>
      </c>
      <c r="AN126" t="inlineStr">
        <is>
          <t>Consumo Masivo</t>
        </is>
      </c>
    </row>
    <row r="127" ht="30" customHeight="1">
      <c r="A127" s="102" t="inlineStr">
        <is>
          <t>N5</t>
        </is>
      </c>
      <c r="B127" s="103" t="inlineStr">
        <is>
          <t xml:space="preserve">Carol Beltan </t>
        </is>
      </c>
      <c r="C127" s="104" t="inlineStr">
        <is>
          <t>COCA-COLA</t>
        </is>
      </c>
      <c r="D127" s="308" t="n">
        <v>0</v>
      </c>
      <c r="E127" s="102" t="n"/>
      <c r="F127" s="102" t="n"/>
      <c r="G127" s="102" t="n"/>
      <c r="H127" s="148" t="inlineStr">
        <is>
          <t>GENERAR PROPUESTA COMERCIAL</t>
        </is>
      </c>
      <c r="I127" s="105" t="n">
        <v>0</v>
      </c>
      <c r="J127" s="102" t="n"/>
      <c r="K127" s="105" t="n"/>
      <c r="L127" s="102" t="n"/>
      <c r="M127" s="105" t="n"/>
      <c r="N127" s="102" t="n"/>
      <c r="O127" s="102" t="inlineStr">
        <is>
          <t>Por Mejorar</t>
        </is>
      </c>
      <c r="P127" s="102">
        <f>A127&amp;"|"&amp;O127</f>
        <v/>
      </c>
      <c r="Q127" s="102" t="inlineStr">
        <is>
          <t>Alta</t>
        </is>
      </c>
      <c r="R127" s="102">
        <f>TRIM(tbl_BasePowerBI[[#This Row],[NOMBRE EJECUTIVO]])</f>
        <v/>
      </c>
      <c r="S127" s="102" t="n"/>
      <c r="T127" s="106" t="n"/>
      <c r="U127" s="106" t="n"/>
      <c r="V127" s="160" t="n"/>
      <c r="W127" s="307" t="n">
        <v>0</v>
      </c>
      <c r="X127" s="86" t="n"/>
      <c r="Y127" s="86" t="n"/>
      <c r="Z127" s="86" t="n"/>
      <c r="AA127" s="86" t="n"/>
      <c r="AB127" s="86" t="n"/>
      <c r="AC127" s="86" t="n"/>
      <c r="AD127" s="86" t="n"/>
      <c r="AE127" s="86" t="n"/>
      <c r="AF127" s="86" t="n"/>
      <c r="AG127" s="86" t="n"/>
      <c r="AJ127" s="86" t="n">
        <v>135</v>
      </c>
      <c r="AK127" s="97" t="n"/>
      <c r="AN127" t="inlineStr">
        <is>
          <t>Consumo Masivo</t>
        </is>
      </c>
    </row>
    <row r="128" ht="30" customHeight="1">
      <c r="A128" s="102" t="inlineStr">
        <is>
          <t>N5</t>
        </is>
      </c>
      <c r="B128" s="103" t="inlineStr">
        <is>
          <t xml:space="preserve">Raul Herrera </t>
        </is>
      </c>
      <c r="C128" s="104" t="inlineStr">
        <is>
          <t>MOVISTAR</t>
        </is>
      </c>
      <c r="D128" s="308" t="n">
        <v>0</v>
      </c>
      <c r="E128" s="102" t="n"/>
      <c r="F128" s="102" t="n"/>
      <c r="G128" s="102" t="n"/>
      <c r="H128" s="148" t="inlineStr">
        <is>
          <t>GENERAR PROPUESTA COMERCIAL</t>
        </is>
      </c>
      <c r="I128" s="105" t="n">
        <v>0</v>
      </c>
      <c r="J128" s="102" t="n"/>
      <c r="K128" s="105" t="n"/>
      <c r="L128" s="102" t="n"/>
      <c r="M128" s="105" t="n"/>
      <c r="N128" s="102" t="n"/>
      <c r="O128" s="102" t="inlineStr">
        <is>
          <t>Por Mejorar</t>
        </is>
      </c>
      <c r="P128" s="102">
        <f>A128&amp;"|"&amp;O128</f>
        <v/>
      </c>
      <c r="Q128" s="102" t="inlineStr">
        <is>
          <t>Alta</t>
        </is>
      </c>
      <c r="R128" s="102">
        <f>TRIM(tbl_BasePowerBI[[#This Row],[NOMBRE EJECUTIVO]])</f>
        <v/>
      </c>
      <c r="S128" s="102" t="n"/>
      <c r="T128" s="106" t="n"/>
      <c r="U128" s="106" t="n"/>
      <c r="V128" s="160" t="n"/>
      <c r="W128" s="307" t="n">
        <v>0</v>
      </c>
      <c r="X128" s="86" t="n"/>
      <c r="Y128" s="86" t="n"/>
      <c r="Z128" s="86" t="n"/>
      <c r="AA128" s="86" t="n"/>
      <c r="AB128" s="86" t="n"/>
      <c r="AC128" s="86" t="n"/>
      <c r="AD128" s="86" t="n"/>
      <c r="AE128" s="86" t="n"/>
      <c r="AF128" s="86" t="n"/>
      <c r="AG128" s="86" t="n"/>
      <c r="AK128" s="97" t="n"/>
      <c r="AN128" t="inlineStr">
        <is>
          <t>Tecnología</t>
        </is>
      </c>
    </row>
    <row r="129" ht="30" customFormat="1" customHeight="1" s="129">
      <c r="A129" s="113" t="inlineStr">
        <is>
          <t>N5</t>
        </is>
      </c>
      <c r="B129" s="119" t="inlineStr">
        <is>
          <t>Ana Maria Castañeda</t>
        </is>
      </c>
      <c r="C129" s="120" t="inlineStr">
        <is>
          <t>DECATHLON</t>
        </is>
      </c>
      <c r="D129" s="313" t="n">
        <v>30000000</v>
      </c>
      <c r="E129" s="113" t="n"/>
      <c r="F129" s="113" t="n"/>
      <c r="G129" s="113" t="n"/>
      <c r="H129" s="119" t="inlineStr">
        <is>
          <t>GENERAR PROPUESTA COMERCIAL</t>
        </is>
      </c>
      <c r="I129" s="114" t="n">
        <v>100</v>
      </c>
      <c r="J129" s="113" t="inlineStr">
        <is>
          <t>Propuesta entregada</t>
        </is>
      </c>
      <c r="K129" s="114" t="n">
        <v>100</v>
      </c>
      <c r="L129" s="113" t="inlineStr">
        <is>
          <t>PROPUESTA CERRADA</t>
        </is>
      </c>
      <c r="M129" s="114" t="n">
        <v>100</v>
      </c>
      <c r="N129" s="113" t="n"/>
      <c r="O129" s="113" t="inlineStr">
        <is>
          <t>Cerrada</t>
        </is>
      </c>
      <c r="P129" s="113">
        <f>A129&amp;"|"&amp;O129</f>
        <v/>
      </c>
      <c r="Q129" s="113" t="inlineStr">
        <is>
          <t>Alta</t>
        </is>
      </c>
      <c r="R129" s="113">
        <f>TRIM(tbl_BasePowerBI[[#This Row],[NOMBRE EJECUTIVO]])</f>
        <v/>
      </c>
      <c r="S129" s="113" t="inlineStr">
        <is>
          <t>JUNIO</t>
        </is>
      </c>
      <c r="T129" s="115" t="n"/>
      <c r="U129" s="115" t="n"/>
      <c r="V129" s="165" t="n"/>
      <c r="W129" s="307" t="n">
        <v>30000000</v>
      </c>
      <c r="X129" s="86" t="n"/>
      <c r="Y129" s="86" t="n"/>
      <c r="Z129" s="86" t="n"/>
      <c r="AA129" s="86" t="n"/>
      <c r="AB129" s="86" t="n"/>
      <c r="AC129" s="86" t="n"/>
      <c r="AD129" s="86" t="n"/>
      <c r="AE129" s="86" t="n"/>
      <c r="AF129" s="86" t="n"/>
      <c r="AG129" s="86" t="n"/>
      <c r="AH129" s="86" t="n"/>
      <c r="AI129" s="86" t="n"/>
      <c r="AJ129" s="86" t="n"/>
      <c r="AK129" s="102" t="inlineStr">
        <is>
          <t>Sthefanie Botello</t>
        </is>
      </c>
      <c r="AN129" t="inlineStr">
        <is>
          <t>Moda</t>
        </is>
      </c>
    </row>
    <row r="130" ht="30" customHeight="1">
      <c r="A130" s="102" t="inlineStr">
        <is>
          <t>N5</t>
        </is>
      </c>
      <c r="B130" s="103" t="inlineStr">
        <is>
          <t xml:space="preserve">Raul Herrera </t>
        </is>
      </c>
      <c r="C130" s="104" t="inlineStr">
        <is>
          <t>COMPENSAR</t>
        </is>
      </c>
      <c r="D130" s="308" t="n">
        <v>0</v>
      </c>
      <c r="E130" s="102" t="n"/>
      <c r="F130" s="102" t="n"/>
      <c r="G130" s="102" t="n"/>
      <c r="H130" s="148" t="inlineStr">
        <is>
          <t>GENERAR PROPUESTA COMERCIAL</t>
        </is>
      </c>
      <c r="I130" s="105" t="n">
        <v>0</v>
      </c>
      <c r="J130" s="102" t="n"/>
      <c r="K130" s="105" t="n"/>
      <c r="L130" s="102" t="n"/>
      <c r="M130" s="105" t="n"/>
      <c r="N130" s="102" t="n"/>
      <c r="O130" s="102" t="inlineStr">
        <is>
          <t>Por Mejorar</t>
        </is>
      </c>
      <c r="P130" s="102">
        <f>A130&amp;"|"&amp;O130</f>
        <v/>
      </c>
      <c r="Q130" s="102" t="inlineStr">
        <is>
          <t>Alta</t>
        </is>
      </c>
      <c r="R130" s="102">
        <f>TRIM(tbl_BasePowerBI[[#This Row],[NOMBRE EJECUTIVO]])</f>
        <v/>
      </c>
      <c r="S130" s="102" t="n"/>
      <c r="T130" s="106" t="n"/>
      <c r="U130" s="106" t="n"/>
      <c r="V130" s="160" t="n"/>
      <c r="W130" s="307" t="n">
        <v>0</v>
      </c>
      <c r="X130" s="86" t="n"/>
      <c r="Y130" s="86" t="n"/>
      <c r="Z130" s="86" t="n"/>
      <c r="AA130" s="86" t="n"/>
      <c r="AB130" s="86" t="n"/>
      <c r="AC130" s="86" t="n"/>
      <c r="AD130" s="86" t="n"/>
      <c r="AE130" s="86" t="n"/>
      <c r="AF130" s="86" t="n"/>
      <c r="AG130" s="86" t="n"/>
      <c r="AK130" s="97" t="n"/>
      <c r="AM130" s="316" t="n"/>
      <c r="AN130" t="inlineStr">
        <is>
          <t>Salud</t>
        </is>
      </c>
    </row>
    <row r="131" ht="30" customHeight="1">
      <c r="A131" s="98" t="inlineStr">
        <is>
          <t>N5</t>
        </is>
      </c>
      <c r="B131" s="139" t="inlineStr">
        <is>
          <t xml:space="preserve">Raul Herrera </t>
        </is>
      </c>
      <c r="C131" s="98" t="inlineStr">
        <is>
          <t>DESPEGAR</t>
        </is>
      </c>
      <c r="D131" s="305" t="n">
        <v>35000000</v>
      </c>
      <c r="E131" s="101" t="inlineStr">
        <is>
          <t>DESARROLO DE PROPUESTA DIGITAL - FRANQUICIA CHECK IN</t>
        </is>
      </c>
      <c r="F131" s="98" t="n"/>
      <c r="G131" s="98" t="n"/>
      <c r="H131" s="101" t="inlineStr">
        <is>
          <t>Entregar la propuesta digital y su valorización al ejecutivo correspondiente.</t>
        </is>
      </c>
      <c r="I131" s="99" t="n">
        <v>100</v>
      </c>
      <c r="J131" s="101" t="inlineStr">
        <is>
          <t>Realizar seguimiento a la propuesta para conocer su estado, confirmar si se concretó el cierre e identificar oportunidades de mejora.</t>
        </is>
      </c>
      <c r="K131" s="99" t="n">
        <v>100</v>
      </c>
      <c r="L131" s="98" t="n"/>
      <c r="M131" s="99" t="n">
        <v>50</v>
      </c>
      <c r="N131" s="98" t="n"/>
      <c r="O131" s="98" t="inlineStr">
        <is>
          <t>En seguimiento</t>
        </is>
      </c>
      <c r="P131" s="98">
        <f>A131&amp;"|"&amp;O131</f>
        <v/>
      </c>
      <c r="Q131" s="98" t="inlineStr">
        <is>
          <t>Media</t>
        </is>
      </c>
      <c r="R131" s="98">
        <f>TRIM(tbl_BasePowerBI[[#This Row],[NOMBRE EJECUTIVO]])</f>
        <v/>
      </c>
      <c r="S131" s="98" t="inlineStr">
        <is>
          <t>JULIO</t>
        </is>
      </c>
      <c r="T131" s="100" t="n">
        <v>46206</v>
      </c>
      <c r="U131" s="100" t="n">
        <v>46206</v>
      </c>
      <c r="V131" s="157" t="inlineStr">
        <is>
          <t>PROPUESTA DESPEGAR.pptx</t>
        </is>
      </c>
      <c r="W131" s="307" t="n">
        <v>39000000</v>
      </c>
      <c r="X131" s="86" t="n"/>
      <c r="Y131" s="86" t="n"/>
      <c r="Z131" s="86" t="n"/>
      <c r="AA131" s="86" t="n"/>
      <c r="AB131" s="86" t="n"/>
      <c r="AC131" s="86" t="n"/>
      <c r="AD131" s="86" t="n"/>
      <c r="AE131" s="86" t="n"/>
      <c r="AF131" s="86" t="n"/>
      <c r="AG131" s="86" t="n"/>
      <c r="AK131" s="97" t="inlineStr">
        <is>
          <t>Juan Pablo Godoy</t>
        </is>
      </c>
      <c r="AN131" t="inlineStr">
        <is>
          <t>Viajes</t>
        </is>
      </c>
    </row>
    <row r="132" ht="30" customHeight="1">
      <c r="A132" s="109" t="inlineStr">
        <is>
          <t>N5</t>
        </is>
      </c>
      <c r="B132" s="109" t="inlineStr">
        <is>
          <t xml:space="preserve">Carol Beltan </t>
        </is>
      </c>
      <c r="C132" s="109" t="inlineStr">
        <is>
          <t xml:space="preserve">BAN 100 </t>
        </is>
      </c>
      <c r="D132" s="317" t="n">
        <v>8000000</v>
      </c>
      <c r="E132" s="108" t="inlineStr">
        <is>
          <t xml:space="preserve">DESARROLO DE PROPUESTA DIGITAL  - FRANQUICIA SE LO EXPLICO CON EXPERTOS </t>
        </is>
      </c>
      <c r="F132" s="109" t="n"/>
      <c r="G132" s="109" t="n"/>
      <c r="H132" s="121" t="inlineStr">
        <is>
          <t>Entregar la propuesta digital y su valorización al ejecutivo correspondiente.</t>
        </is>
      </c>
      <c r="I132" s="111" t="n">
        <v>100</v>
      </c>
      <c r="J132" s="121" t="inlineStr">
        <is>
          <t>Realizar seguimiento a la propuesta para conocer su estado, confirmar si se concretó el cierre e identificar oportunidades de mejora.</t>
        </is>
      </c>
      <c r="K132" s="111" t="n">
        <v>100</v>
      </c>
      <c r="L132" s="109" t="n"/>
      <c r="M132" s="111" t="n">
        <v>50</v>
      </c>
      <c r="N132" s="109" t="n"/>
      <c r="O132" s="109" t="inlineStr">
        <is>
          <t>En seguimiento</t>
        </is>
      </c>
      <c r="P132" s="109">
        <f>A132&amp;"|"&amp;O132</f>
        <v/>
      </c>
      <c r="Q132" s="109" t="inlineStr">
        <is>
          <t>Media</t>
        </is>
      </c>
      <c r="R132" s="109">
        <f>TRIM(tbl_BasePowerBI[[#This Row],[NOMBRE EJECUTIVO]])</f>
        <v/>
      </c>
      <c r="S132" s="109" t="inlineStr">
        <is>
          <t>JULIO</t>
        </is>
      </c>
      <c r="T132" s="122" t="n">
        <v>46210</v>
      </c>
      <c r="U132" s="122" t="n">
        <v>46210</v>
      </c>
      <c r="V132" s="166" t="inlineStr">
        <is>
          <t>PROPUESTA BAN100.pptx</t>
        </is>
      </c>
      <c r="W132" s="312" t="n">
        <v>8500000</v>
      </c>
      <c r="X132" s="86" t="n"/>
      <c r="Y132" s="86" t="n"/>
      <c r="Z132" s="86" t="n"/>
      <c r="AA132" s="86" t="n"/>
      <c r="AB132" s="86" t="n"/>
      <c r="AC132" s="86" t="n"/>
      <c r="AD132" s="86" t="n"/>
      <c r="AE132" s="86" t="n"/>
      <c r="AF132" s="86" t="n"/>
      <c r="AG132" s="86" t="n"/>
      <c r="AK132" s="97" t="inlineStr">
        <is>
          <t>Juan Pablo Godoy</t>
        </is>
      </c>
      <c r="AN132" t="inlineStr">
        <is>
          <t>Banca</t>
        </is>
      </c>
    </row>
    <row r="133" ht="30" customHeight="1">
      <c r="A133" s="109" t="inlineStr">
        <is>
          <t>N5</t>
        </is>
      </c>
      <c r="B133" s="109" t="inlineStr">
        <is>
          <t xml:space="preserve">Carol Beltan </t>
        </is>
      </c>
      <c r="C133" s="141" t="inlineStr">
        <is>
          <t>CERVEZA TRIBUTO</t>
        </is>
      </c>
      <c r="D133" s="317" t="n">
        <v>40000000</v>
      </c>
      <c r="E133" s="141" t="inlineStr">
        <is>
          <t xml:space="preserve">PROPUESTA  DIGITAL - FRANQUICIA PROBANDO PROBANDO </t>
        </is>
      </c>
      <c r="F133" s="109" t="n"/>
      <c r="G133" s="109" t="n"/>
      <c r="H133" s="121" t="inlineStr">
        <is>
          <t>Entregar la propuesta digital y su valorización al ejecutivo correspondiente.</t>
        </is>
      </c>
      <c r="I133" s="111" t="n">
        <v>100</v>
      </c>
      <c r="J133" s="121" t="inlineStr">
        <is>
          <t>Realizar seguimiento a la propuesta para conocer su estado, confirmar si se concretó el cierre e identificar oportunidades de mejora.</t>
        </is>
      </c>
      <c r="K133" s="111" t="n">
        <v>50</v>
      </c>
      <c r="L133" s="109" t="n"/>
      <c r="M133" s="111" t="n">
        <v>50</v>
      </c>
      <c r="N133" s="109" t="n"/>
      <c r="O133" s="109" t="inlineStr">
        <is>
          <t>En seguimiento</t>
        </is>
      </c>
      <c r="P133" s="109">
        <f>A133&amp;"|"&amp;O133</f>
        <v/>
      </c>
      <c r="Q133" s="109" t="inlineStr">
        <is>
          <t>Media</t>
        </is>
      </c>
      <c r="R133" s="109">
        <f>TRIM(tbl_BasePowerBI[[#This Row],[NOMBRE EJECUTIVO]])</f>
        <v/>
      </c>
      <c r="S133" s="109" t="inlineStr">
        <is>
          <t>JULIO</t>
        </is>
      </c>
      <c r="T133" s="122" t="n">
        <v>46213</v>
      </c>
      <c r="U133" s="122" t="n">
        <v>46218</v>
      </c>
      <c r="V133" s="166" t="inlineStr">
        <is>
          <t>Producto_Digital-TRIBUTO.pptx</t>
        </is>
      </c>
      <c r="W133" s="312" t="n">
        <v>45000000</v>
      </c>
      <c r="X133" s="86" t="n"/>
      <c r="Y133" s="86" t="n"/>
      <c r="Z133" s="86" t="n"/>
      <c r="AA133" s="86" t="n"/>
      <c r="AB133" s="86" t="n"/>
      <c r="AC133" s="86" t="n"/>
      <c r="AD133" s="86" t="n"/>
      <c r="AE133" s="86" t="n"/>
      <c r="AF133" s="86" t="n"/>
      <c r="AG133" s="86" t="n"/>
      <c r="AK133" s="97" t="inlineStr">
        <is>
          <t>Sthefanie Botello</t>
        </is>
      </c>
      <c r="AN133" t="inlineStr">
        <is>
          <t>Consumo Masivo</t>
        </is>
      </c>
    </row>
    <row r="134" ht="51.95" customHeight="1">
      <c r="A134" s="109" t="inlineStr">
        <is>
          <t>N5</t>
        </is>
      </c>
      <c r="B134" s="109" t="inlineStr">
        <is>
          <t>Luz Karime Hernandez</t>
        </is>
      </c>
      <c r="C134" s="109" t="inlineStr">
        <is>
          <t>HP</t>
        </is>
      </c>
      <c r="D134" s="317" t="n">
        <v>48000000</v>
      </c>
      <c r="E134" s="109" t="inlineStr">
        <is>
          <t>DESARROLO DE PROPUESTA DIGITAL CON FRANQUICIA TECNOLOGIA</t>
        </is>
      </c>
      <c r="F134" s="109" t="n"/>
      <c r="G134" s="109" t="n"/>
      <c r="H134" s="109" t="inlineStr">
        <is>
          <t>Entregar la propuesta digital y su valorización al ejecutivo correspondiente.</t>
        </is>
      </c>
      <c r="I134" s="111" t="n">
        <v>100</v>
      </c>
      <c r="J134" s="109" t="inlineStr">
        <is>
          <t>Realizar seguimiento a la propuesta para conocer su estado, confirmar si se concretó el cierre e identificar oportunidades de mejora.</t>
        </is>
      </c>
      <c r="K134" s="111" t="n">
        <v>50</v>
      </c>
      <c r="L134" s="109" t="n"/>
      <c r="M134" s="111" t="n">
        <v>50</v>
      </c>
      <c r="N134" s="109" t="n"/>
      <c r="O134" s="109" t="inlineStr">
        <is>
          <t>Por cerrar</t>
        </is>
      </c>
      <c r="P134" s="109">
        <f>A134&amp;"|"&amp;O134</f>
        <v/>
      </c>
      <c r="Q134" s="109" t="inlineStr">
        <is>
          <t>Media</t>
        </is>
      </c>
      <c r="R134" s="109">
        <f>TRIM(tbl_BasePowerBI[[#This Row],[NOMBRE EJECUTIVO]])</f>
        <v/>
      </c>
      <c r="S134" s="109" t="inlineStr">
        <is>
          <t>JULIO</t>
        </is>
      </c>
      <c r="T134" s="122" t="n">
        <v>46220</v>
      </c>
      <c r="U134" s="122" t="n">
        <v>46220</v>
      </c>
      <c r="V134" s="166" t="inlineStr">
        <is>
          <t>PROPUESTA HP.pptx</t>
        </is>
      </c>
      <c r="W134" s="312" t="n">
        <v>48000000</v>
      </c>
      <c r="X134" s="86" t="n"/>
      <c r="Y134" s="86" t="n"/>
      <c r="Z134" s="86" t="n"/>
      <c r="AA134" s="86" t="n"/>
      <c r="AB134" s="86" t="n"/>
      <c r="AC134" s="86" t="n"/>
      <c r="AD134" s="86" t="n"/>
      <c r="AE134" s="86" t="n"/>
      <c r="AF134" s="86" t="n"/>
      <c r="AG134" s="86" t="n"/>
      <c r="AK134" s="97" t="inlineStr">
        <is>
          <t>Juan Pablo Godoy</t>
        </is>
      </c>
      <c r="AN134" t="inlineStr">
        <is>
          <t>Tecnología</t>
        </is>
      </c>
    </row>
    <row r="135" ht="30" customHeight="1">
      <c r="A135" s="109" t="inlineStr">
        <is>
          <t>N4</t>
        </is>
      </c>
      <c r="B135" s="109" t="inlineStr">
        <is>
          <t>Karen Perez</t>
        </is>
      </c>
      <c r="C135" s="109" t="inlineStr">
        <is>
          <t>FONTANAR</t>
        </is>
      </c>
      <c r="D135" s="317" t="n">
        <v>42000000</v>
      </c>
      <c r="E135" s="109" t="inlineStr">
        <is>
          <t xml:space="preserve">DESARROLO DE PROPUESTA DIGITAL - FRANQUICIA GABSULAS </t>
        </is>
      </c>
      <c r="F135" s="109" t="n"/>
      <c r="G135" s="109" t="n"/>
      <c r="H135" s="142" t="inlineStr">
        <is>
          <t>Entregar la propuesta digital y su valorización al ejecutivo correspondiente.</t>
        </is>
      </c>
      <c r="I135" s="111" t="n">
        <v>100</v>
      </c>
      <c r="J135" s="142" t="inlineStr">
        <is>
          <t>Realizar seguimiento a la propuesta para conocer su estado, confirmar si se concretó el cierre e identificar oportunidades de mejora.</t>
        </is>
      </c>
      <c r="K135" s="111" t="n">
        <v>100</v>
      </c>
      <c r="L135" s="109" t="inlineStr">
        <is>
          <t>se realiza un re ajuste, estamos a la espera por aprobacion del cliente</t>
        </is>
      </c>
      <c r="M135" s="111" t="n">
        <v>50</v>
      </c>
      <c r="N135" s="109" t="n"/>
      <c r="O135" s="109" t="inlineStr">
        <is>
          <t>En seguimiento</t>
        </is>
      </c>
      <c r="P135" s="109">
        <f>A135&amp;"|"&amp;O135</f>
        <v/>
      </c>
      <c r="Q135" s="109" t="inlineStr">
        <is>
          <t>Media</t>
        </is>
      </c>
      <c r="R135" s="109">
        <f>TRIM(tbl_BasePowerBI[[#This Row],[NOMBRE EJECUTIVO]])</f>
        <v/>
      </c>
      <c r="S135" s="109" t="inlineStr">
        <is>
          <t>JULIO</t>
        </is>
      </c>
      <c r="T135" s="112" t="n">
        <v>46226</v>
      </c>
      <c r="U135" s="112" t="n">
        <v>46227</v>
      </c>
      <c r="V135" s="167" t="inlineStr">
        <is>
          <t>Presentación Escape Game - Fontanar.pptx</t>
        </is>
      </c>
      <c r="W135" s="312" t="n">
        <v>40000000</v>
      </c>
      <c r="X135" s="96" t="n"/>
      <c r="Y135" s="96" t="n"/>
      <c r="Z135" s="96" t="n"/>
      <c r="AA135" s="96" t="n"/>
      <c r="AB135" s="96" t="n"/>
      <c r="AC135" s="96" t="n"/>
      <c r="AD135" s="96" t="n"/>
      <c r="AE135" s="96" t="n"/>
      <c r="AF135" s="96" t="n"/>
      <c r="AG135" s="96" t="n"/>
      <c r="AK135" s="97" t="inlineStr">
        <is>
          <t>Sthefanie Botello</t>
        </is>
      </c>
      <c r="AN135" t="inlineStr">
        <is>
          <t>Inmobiliario</t>
        </is>
      </c>
    </row>
    <row r="136" ht="30" customHeight="1">
      <c r="A136" s="109" t="inlineStr">
        <is>
          <t>N4</t>
        </is>
      </c>
      <c r="B136" s="109" t="inlineStr">
        <is>
          <t>Mauricio Agudelo</t>
        </is>
      </c>
      <c r="C136" s="109" t="inlineStr">
        <is>
          <t>AVIATUR</t>
        </is>
      </c>
      <c r="D136" s="311" t="n">
        <v>28800000</v>
      </c>
      <c r="E136" s="142" t="inlineStr">
        <is>
          <t xml:space="preserve">DESARROLO DE PROPUESTA DIGITAL - FRANQUICIA ENTE VALIENTES Y TEAM HATER </t>
        </is>
      </c>
      <c r="F136" s="109" t="n"/>
      <c r="G136" s="109" t="n"/>
      <c r="H136" s="142" t="inlineStr">
        <is>
          <t>Entregar la propuesta digital y su valorización al ejecutivo correspondiente.</t>
        </is>
      </c>
      <c r="I136" s="111" t="n">
        <v>100</v>
      </c>
      <c r="J136" s="142" t="inlineStr">
        <is>
          <t>Realizar seguimiento a la propuesta para conocer su estado, confirmar si se concretó el cierre e identificar oportunidades de mejora.</t>
        </is>
      </c>
      <c r="K136" s="111" t="n">
        <v>50</v>
      </c>
      <c r="L136" s="109" t="n"/>
      <c r="M136" s="111" t="n">
        <v>50</v>
      </c>
      <c r="N136" s="109" t="n"/>
      <c r="O136" s="109" t="inlineStr">
        <is>
          <t>En seguimiento</t>
        </is>
      </c>
      <c r="P136" s="109">
        <f>A136&amp;"|"&amp;O136</f>
        <v/>
      </c>
      <c r="Q136" s="109" t="inlineStr">
        <is>
          <t>Media</t>
        </is>
      </c>
      <c r="R136" s="109">
        <f>TRIM(tbl_BasePowerBI[[#This Row],[NOMBRE EJECUTIVO]])</f>
        <v/>
      </c>
      <c r="S136" s="109" t="inlineStr">
        <is>
          <t>JULIO</t>
        </is>
      </c>
      <c r="T136" s="112" t="n">
        <v>46226</v>
      </c>
      <c r="U136" s="112" t="n">
        <v>46226</v>
      </c>
      <c r="V136" s="168" t="n"/>
      <c r="W136" s="312" t="n">
        <v>28800000</v>
      </c>
      <c r="X136" s="96" t="n"/>
      <c r="Y136" s="96" t="n"/>
      <c r="Z136" s="96" t="n"/>
      <c r="AA136" s="96" t="n"/>
      <c r="AB136" s="96" t="n"/>
      <c r="AC136" s="96" t="n"/>
      <c r="AD136" s="96" t="n"/>
      <c r="AE136" s="96" t="n"/>
      <c r="AF136" s="96" t="n"/>
      <c r="AG136" s="96" t="n"/>
      <c r="AK136" s="97" t="inlineStr">
        <is>
          <t>Juan Pablo Godoy</t>
        </is>
      </c>
      <c r="AN136" t="inlineStr">
        <is>
          <t>Viajes</t>
        </is>
      </c>
    </row>
    <row r="137" ht="30" customHeight="1">
      <c r="A137" s="109" t="inlineStr">
        <is>
          <t>N4</t>
        </is>
      </c>
      <c r="B137" s="109" t="inlineStr">
        <is>
          <t>Mauricio Agudelo</t>
        </is>
      </c>
      <c r="C137" s="109" t="inlineStr">
        <is>
          <t>KIMBERLY CLARK</t>
        </is>
      </c>
      <c r="D137" s="311" t="n">
        <v>40000000</v>
      </c>
      <c r="E137" s="142" t="inlineStr">
        <is>
          <t xml:space="preserve">DESARROLO DE PROPUESTA DIGITAL - FRANQUICIAS CARTAS A MI EX Y LA LUCIERNAGA PARODIAS </t>
        </is>
      </c>
      <c r="F137" s="109" t="n"/>
      <c r="G137" s="109" t="n"/>
      <c r="H137" s="142" t="inlineStr">
        <is>
          <t>Entregar la propuesta digital y su valorización al ejecutivo correspondiente.</t>
        </is>
      </c>
      <c r="I137" s="111" t="n">
        <v>100</v>
      </c>
      <c r="J137" s="142" t="inlineStr">
        <is>
          <t>Realizar seguimiento a la propuesta para conocer su estado, confirmar si se concretó el cierre e identificar oportunidades de mejora.</t>
        </is>
      </c>
      <c r="K137" s="111" t="n">
        <v>51</v>
      </c>
      <c r="L137" s="109" t="n"/>
      <c r="M137" s="111" t="n">
        <v>50</v>
      </c>
      <c r="N137" s="109" t="n"/>
      <c r="O137" s="109" t="inlineStr">
        <is>
          <t>En seguimiento</t>
        </is>
      </c>
      <c r="P137" s="109">
        <f>A137&amp;"|"&amp;O137</f>
        <v/>
      </c>
      <c r="Q137" s="109" t="inlineStr">
        <is>
          <t>Media</t>
        </is>
      </c>
      <c r="R137" s="109">
        <f>TRIM(tbl_BasePowerBI[[#This Row],[NOMBRE EJECUTIVO]])</f>
        <v/>
      </c>
      <c r="S137" s="109" t="inlineStr">
        <is>
          <t>JULIO</t>
        </is>
      </c>
      <c r="T137" s="112" t="n">
        <v>46226</v>
      </c>
      <c r="U137" s="112" t="n">
        <v>46226</v>
      </c>
      <c r="V137" s="169" t="inlineStr">
        <is>
      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      </is>
      </c>
      <c r="W137" s="312" t="n">
        <v>43000000</v>
      </c>
      <c r="X137" s="96" t="n"/>
      <c r="Y137" s="96" t="n"/>
      <c r="Z137" s="96" t="n"/>
      <c r="AA137" s="96" t="n"/>
      <c r="AB137" s="96" t="n"/>
      <c r="AC137" s="96" t="n"/>
      <c r="AD137" s="96" t="n"/>
      <c r="AE137" s="96" t="n"/>
      <c r="AF137" s="96" t="n"/>
      <c r="AG137" s="96" t="n"/>
      <c r="AK137" s="97" t="inlineStr">
        <is>
          <t>Juan Pablo Godoy</t>
        </is>
      </c>
      <c r="AN137" t="inlineStr">
        <is>
          <t>Consumo Masivo</t>
        </is>
      </c>
    </row>
    <row r="138" ht="30" customHeight="1">
      <c r="A138" s="109" t="inlineStr">
        <is>
          <t>N4</t>
        </is>
      </c>
      <c r="B138" s="109" t="inlineStr">
        <is>
          <t>Karen Perez</t>
        </is>
      </c>
      <c r="C138" s="109" t="inlineStr">
        <is>
          <t>PUNTO RED</t>
        </is>
      </c>
      <c r="D138" s="311" t="n">
        <v>23568560</v>
      </c>
      <c r="E138" s="142" t="inlineStr">
        <is>
          <t>FRANQUICIA - SE LO EXPLICO CON EXPERTOS</t>
        </is>
      </c>
      <c r="F138" s="109" t="n"/>
      <c r="G138" s="109" t="n"/>
      <c r="H138" s="108" t="inlineStr">
        <is>
          <t>Entregar la propuesta digital y su valorización al ejecutivo correspondiente.</t>
        </is>
      </c>
      <c r="I138" s="111" t="n">
        <v>100</v>
      </c>
      <c r="J138" s="108" t="inlineStr">
        <is>
          <t>Realizar seguimiento a la propuesta para conocer su estado, confirmar si se concretó el cierre e identificar oportunidades de mejora.</t>
        </is>
      </c>
      <c r="K138" s="111" t="n">
        <v>50</v>
      </c>
      <c r="L138" s="109" t="n"/>
      <c r="M138" s="111" t="n">
        <v>50</v>
      </c>
      <c r="N138" s="109" t="n"/>
      <c r="O138" s="109" t="inlineStr">
        <is>
          <t>En seguimiento</t>
        </is>
      </c>
      <c r="P138" s="109">
        <f>A138&amp;"|"&amp;O138</f>
        <v/>
      </c>
      <c r="Q138" s="109" t="inlineStr">
        <is>
          <t>Media</t>
        </is>
      </c>
      <c r="R138" s="109">
        <f>TRIM(tbl_BasePowerBI[[#This Row],[NOMBRE EJECUTIVO]])</f>
        <v/>
      </c>
      <c r="S138" s="109" t="inlineStr">
        <is>
          <t>JULIO</t>
        </is>
      </c>
      <c r="T138" s="112" t="n">
        <v>46231</v>
      </c>
      <c r="U138" s="112" t="n">
        <v>46233</v>
      </c>
      <c r="V138" s="167" t="inlineStr">
        <is>
          <t>PUNTO RED + TROPICANA .pptx</t>
        </is>
      </c>
      <c r="W138" s="312" t="n">
        <v>23568560</v>
      </c>
      <c r="X138" s="96" t="n"/>
      <c r="Y138" s="96" t="n"/>
      <c r="Z138" s="96" t="n"/>
      <c r="AA138" s="96" t="n"/>
      <c r="AB138" s="96" t="n"/>
      <c r="AC138" s="96" t="n"/>
      <c r="AD138" s="96" t="n"/>
      <c r="AE138" s="96" t="n"/>
      <c r="AF138" s="96" t="n"/>
      <c r="AG138" s="96" t="n"/>
      <c r="AK138" s="97" t="inlineStr">
        <is>
          <t>Jonathan Velasquez</t>
        </is>
      </c>
      <c r="AN138" t="inlineStr">
        <is>
          <t>Banca</t>
        </is>
      </c>
    </row>
    <row r="139" ht="30" customHeight="1">
      <c r="A139" s="109" t="inlineStr">
        <is>
          <t>N3</t>
        </is>
      </c>
      <c r="B139" s="109" t="inlineStr">
        <is>
          <t>Laura Melo</t>
        </is>
      </c>
      <c r="C139" s="109" t="inlineStr">
        <is>
          <t>TEATRO NACIONAL</t>
        </is>
      </c>
      <c r="D139" s="311" t="n">
        <v>20000000</v>
      </c>
      <c r="E139" s="108" t="inlineStr">
        <is>
          <t>FRANQUICIA - PARODIAS LA LUCIERNAGA</t>
        </is>
      </c>
      <c r="F139" s="109" t="n"/>
      <c r="G139" s="109" t="n"/>
      <c r="H139" s="108" t="inlineStr">
        <is>
          <t>Entregar la propuesta digital y su valorización al ejecutivo correspondiente.</t>
        </is>
      </c>
      <c r="I139" s="111" t="n">
        <v>100</v>
      </c>
      <c r="J139" s="108" t="inlineStr">
        <is>
          <t>Realizar seguimiento a la propuesta para conocer su estado, confirmar si se concretó el cierre e identificar oportunidades de mejora.</t>
        </is>
      </c>
      <c r="K139" s="111" t="n">
        <v>100</v>
      </c>
      <c r="L139" s="109" t="inlineStr">
        <is>
          <t xml:space="preserve">Se realizo un ajuste a la propuesta envia, deacurdo a lo conversado con el cliente </t>
        </is>
      </c>
      <c r="M139" s="111" t="n">
        <v>100</v>
      </c>
      <c r="N139" s="109" t="n"/>
      <c r="O139" s="109" t="inlineStr">
        <is>
          <t>En seguimiento</t>
        </is>
      </c>
      <c r="P139" s="109">
        <f>A139&amp;"|"&amp;O139</f>
        <v/>
      </c>
      <c r="Q139" s="109" t="inlineStr">
        <is>
          <t>Media</t>
        </is>
      </c>
      <c r="R139" s="109">
        <f>TRIM(tbl_BasePowerBI[[#This Row],[NOMBRE EJECUTIVO]])</f>
        <v/>
      </c>
      <c r="S139" s="109" t="inlineStr">
        <is>
          <t>JULIO</t>
        </is>
      </c>
      <c r="T139" s="112" t="n">
        <v>46230</v>
      </c>
      <c r="U139" s="112" t="n">
        <v>46231</v>
      </c>
      <c r="V139" s="168" t="n"/>
      <c r="W139" s="312" t="n">
        <v>20000000</v>
      </c>
      <c r="X139" s="96" t="n"/>
      <c r="Y139" s="96" t="n"/>
      <c r="Z139" s="96" t="n"/>
      <c r="AA139" s="96" t="n"/>
      <c r="AB139" s="96" t="n"/>
      <c r="AC139" s="96" t="n"/>
      <c r="AD139" s="96" t="n"/>
      <c r="AE139" s="96" t="n"/>
      <c r="AF139" s="96" t="n"/>
      <c r="AG139" s="96" t="n"/>
      <c r="AK139" s="97" t="inlineStr">
        <is>
          <t>Sthefanie Botello</t>
        </is>
      </c>
      <c r="AN139" t="inlineStr">
        <is>
          <t>Entretenimiento</t>
        </is>
      </c>
    </row>
    <row r="140" ht="30" customHeight="1">
      <c r="A140" s="109" t="inlineStr">
        <is>
          <t>N3</t>
        </is>
      </c>
      <c r="B140" s="101" t="inlineStr">
        <is>
          <t>Elsa Cortez</t>
        </is>
      </c>
      <c r="C140" s="143" t="inlineStr">
        <is>
          <t>DALE!</t>
        </is>
      </c>
      <c r="D140" s="318" t="n">
        <v>42950000</v>
      </c>
      <c r="E140" s="144" t="inlineStr">
        <is>
          <t>Video remoto + Chat IA</t>
        </is>
      </c>
      <c r="F140" s="109" t="n"/>
      <c r="G140" s="109" t="n"/>
      <c r="H140" s="108" t="inlineStr">
        <is>
          <t>Entregar la propuesta digital y su valorización al ejecutivo correspondiente.</t>
        </is>
      </c>
      <c r="I140" s="111" t="n">
        <v>100</v>
      </c>
      <c r="J140" s="108" t="inlineStr">
        <is>
          <t>Realizar seguimiento a la propuesta para conocer su estado, confirmar si se concretó el cierre e identificar oportunidades de mejora.</t>
        </is>
      </c>
      <c r="K140" s="111" t="n">
        <v>100</v>
      </c>
      <c r="L140" s="109" t="n"/>
      <c r="M140" s="111" t="n">
        <v>50</v>
      </c>
      <c r="N140" s="109" t="n"/>
      <c r="O140" s="109" t="inlineStr">
        <is>
          <t>En seguimiento</t>
        </is>
      </c>
      <c r="P140" s="109">
        <f>A140&amp;"|"&amp;O140</f>
        <v/>
      </c>
      <c r="Q140" s="109" t="inlineStr">
        <is>
          <t>Media</t>
        </is>
      </c>
      <c r="R140" s="109" t="inlineStr">
        <is>
          <t>Elsa Graciliana</t>
        </is>
      </c>
      <c r="S140" s="109" t="inlineStr">
        <is>
          <t>JULIO</t>
        </is>
      </c>
      <c r="T140" s="112" t="n">
        <v>46215</v>
      </c>
      <c r="U140" s="112" t="n">
        <v>46216</v>
      </c>
      <c r="V140" s="170" t="n"/>
      <c r="W140" s="319" t="n">
        <v>42950000</v>
      </c>
      <c r="X140" s="96" t="n"/>
      <c r="Y140" s="96" t="n"/>
      <c r="Z140" s="96" t="n"/>
      <c r="AA140" s="96" t="n"/>
      <c r="AB140" s="96" t="n"/>
      <c r="AC140" s="96" t="n"/>
      <c r="AD140" s="96" t="n"/>
      <c r="AE140" s="96" t="n"/>
      <c r="AF140" s="96" t="n"/>
      <c r="AG140" s="96" t="n"/>
      <c r="AK140" s="97" t="inlineStr">
        <is>
          <t>Jonathan Velasquez</t>
        </is>
      </c>
      <c r="AN140" t="inlineStr">
        <is>
          <t>Tecnología</t>
        </is>
      </c>
    </row>
    <row r="141" ht="30" customHeight="1">
      <c r="A141" s="109" t="inlineStr">
        <is>
          <t>N1</t>
        </is>
      </c>
      <c r="B141" s="101" t="inlineStr">
        <is>
          <t>Andrea Morales</t>
        </is>
      </c>
      <c r="C141" s="109" t="inlineStr">
        <is>
          <t>ZURICH</t>
        </is>
      </c>
      <c r="D141" s="320" t="n">
        <v>20000000</v>
      </c>
      <c r="E141" s="108" t="inlineStr">
        <is>
          <t>FRANQUICIA - EL RADAR DE VILLAR</t>
        </is>
      </c>
      <c r="F141" s="109" t="n"/>
      <c r="G141" s="109" t="n"/>
      <c r="H141" s="108" t="inlineStr">
        <is>
          <t>Entregar la propuesta digital y su valorización al ejecutivo correspondiente.</t>
        </is>
      </c>
      <c r="I141" s="111" t="n">
        <v>100</v>
      </c>
      <c r="J141" s="108" t="inlineStr">
        <is>
          <t>Realizar seguimiento a la propuesta para conocer su estado, confirmar si se concretó el cierre e identificar oportunidades de mejora.</t>
        </is>
      </c>
      <c r="K141" s="111" t="n">
        <v>50</v>
      </c>
      <c r="L141" s="109" t="n"/>
      <c r="M141" s="111" t="n">
        <v>50</v>
      </c>
      <c r="N141" s="109" t="n"/>
      <c r="O141" s="109" t="inlineStr">
        <is>
          <t>En seguimiento</t>
        </is>
      </c>
      <c r="P141" s="109">
        <f>A141&amp;"|"&amp;O141</f>
        <v/>
      </c>
      <c r="Q141" s="109" t="inlineStr">
        <is>
          <t>Media</t>
        </is>
      </c>
      <c r="R141" s="109">
        <f>TRIM(tbl_BasePowerBI[[#This Row],[NOMBRE EJECUTIVO]])</f>
        <v/>
      </c>
      <c r="S141" s="109" t="inlineStr">
        <is>
          <t>JULIO</t>
        </is>
      </c>
      <c r="T141" s="112" t="n">
        <v>46238</v>
      </c>
      <c r="U141" s="112" t="n">
        <v>46238</v>
      </c>
      <c r="V141" s="168" t="n"/>
      <c r="W141" s="321" t="n">
        <v>20000000</v>
      </c>
      <c r="X141" s="96" t="n"/>
      <c r="Y141" s="96" t="n"/>
      <c r="Z141" s="96" t="n"/>
      <c r="AA141" s="96" t="n"/>
      <c r="AB141" s="96" t="n"/>
      <c r="AC141" s="96" t="n"/>
      <c r="AD141" s="96" t="n"/>
      <c r="AE141" s="96" t="n"/>
      <c r="AF141" s="96" t="n"/>
      <c r="AG141" s="96" t="n"/>
      <c r="AK141" s="97" t="inlineStr">
        <is>
          <t>Jonathan Velasquez</t>
        </is>
      </c>
      <c r="AN141" t="inlineStr">
        <is>
          <t>Seguros</t>
        </is>
      </c>
    </row>
    <row r="142" ht="30" customHeight="1">
      <c r="A142" s="109" t="inlineStr">
        <is>
          <t>N5</t>
        </is>
      </c>
      <c r="B142" s="109" t="inlineStr">
        <is>
          <t>Ana Maria Castañeda</t>
        </is>
      </c>
      <c r="C142" s="109" t="inlineStr">
        <is>
          <t>GRAN ESTACIÓN</t>
        </is>
      </c>
      <c r="D142" s="311" t="n">
        <v>0</v>
      </c>
      <c r="E142" s="108" t="inlineStr">
        <is>
          <t>SUBASTA SMARTPROMO</t>
        </is>
      </c>
      <c r="F142" s="109" t="n"/>
      <c r="G142" s="109" t="n"/>
      <c r="H142" s="108" t="inlineStr">
        <is>
          <t>Entregar la propuesta digital y su valorización al ejecutivo correspondiente.</t>
        </is>
      </c>
      <c r="I142" s="111" t="n">
        <v>100</v>
      </c>
      <c r="J142" s="108" t="inlineStr">
        <is>
          <t>Realizar seguimiento a la propuesta para conocer su estado, confirmar si se concretó el cierre e identificar oportunidades de mejora.</t>
        </is>
      </c>
      <c r="K142" s="111" t="n">
        <v>50</v>
      </c>
      <c r="L142" s="109" t="n"/>
      <c r="M142" s="111" t="n">
        <v>50</v>
      </c>
      <c r="N142" s="109" t="n"/>
      <c r="O142" s="109" t="inlineStr">
        <is>
          <t>En seguimiento</t>
        </is>
      </c>
      <c r="P142" s="109">
        <f>A142&amp;"|"&amp;O142</f>
        <v/>
      </c>
      <c r="Q142" s="109" t="inlineStr">
        <is>
          <t>Media</t>
        </is>
      </c>
      <c r="R142" s="109">
        <f>TRIM(tbl_BasePowerBI[[#This Row],[NOMBRE EJECUTIVO]])</f>
        <v/>
      </c>
      <c r="S142" s="109" t="inlineStr">
        <is>
          <t>JULIO</t>
        </is>
      </c>
      <c r="T142" s="112" t="n">
        <v>46252</v>
      </c>
      <c r="U142" s="112" t="n">
        <v>46252</v>
      </c>
      <c r="V142" s="168" t="n"/>
      <c r="W142" s="312" t="n"/>
      <c r="X142" s="96" t="n"/>
      <c r="Y142" s="96" t="n"/>
      <c r="Z142" s="96" t="n"/>
      <c r="AA142" s="96" t="n"/>
      <c r="AB142" s="96" t="n"/>
      <c r="AC142" s="96" t="n"/>
      <c r="AD142" s="96" t="n"/>
      <c r="AE142" s="96" t="n"/>
      <c r="AF142" s="96" t="n"/>
      <c r="AG142" s="96" t="n"/>
      <c r="AK142" s="97" t="inlineStr">
        <is>
          <t>Jonathan Velasquez</t>
        </is>
      </c>
      <c r="AN142" t="inlineStr">
        <is>
          <t>Consumo Masivo</t>
        </is>
      </c>
    </row>
    <row r="143" ht="30" customHeight="1">
      <c r="A143" s="109" t="inlineStr">
        <is>
          <t>N5</t>
        </is>
      </c>
      <c r="B143" s="109" t="inlineStr">
        <is>
          <t>Luz Karime Hernandez</t>
        </is>
      </c>
      <c r="C143" s="109" t="inlineStr">
        <is>
          <t>ALKOMPRAR</t>
        </is>
      </c>
      <c r="D143" s="311" t="n">
        <v>0</v>
      </c>
      <c r="E143" s="108" t="inlineStr">
        <is>
          <t>SUBASTA SMARTPROMO</t>
        </is>
      </c>
      <c r="F143" s="109" t="n"/>
      <c r="G143" s="109" t="n"/>
      <c r="H143" s="108" t="inlineStr">
        <is>
          <t>Entregar la propuesta digital y su valorización al ejecutivo correspondiente.</t>
        </is>
      </c>
      <c r="I143" s="111" t="n">
        <v>100</v>
      </c>
      <c r="J143" s="108" t="inlineStr">
        <is>
          <t>Realizar seguimiento a la propuesta para conocer su estado, confirmar si se concretó el cierre e identificar oportunidades de mejora.</t>
        </is>
      </c>
      <c r="K143" s="111" t="n">
        <v>50</v>
      </c>
      <c r="L143" s="109" t="n"/>
      <c r="M143" s="111" t="n">
        <v>50</v>
      </c>
      <c r="N143" s="109" t="n"/>
      <c r="O143" s="109" t="inlineStr">
        <is>
          <t>En seguimiento</t>
        </is>
      </c>
      <c r="P143" s="109">
        <f>A143&amp;"|"&amp;O143</f>
        <v/>
      </c>
      <c r="Q143" s="109" t="inlineStr">
        <is>
          <t>Media</t>
        </is>
      </c>
      <c r="R143" s="109">
        <f>TRIM(tbl_BasePowerBI[[#This Row],[NOMBRE EJECUTIVO]])</f>
        <v/>
      </c>
      <c r="S143" s="109" t="inlineStr">
        <is>
          <t>JULIO</t>
        </is>
      </c>
      <c r="T143" s="112" t="n">
        <v>46252</v>
      </c>
      <c r="U143" s="112" t="n">
        <v>46252</v>
      </c>
      <c r="V143" s="168" t="n"/>
      <c r="W143" s="312" t="n"/>
      <c r="X143" s="96" t="n"/>
      <c r="Y143" s="96" t="n"/>
      <c r="Z143" s="96" t="n"/>
      <c r="AA143" s="96" t="n"/>
      <c r="AB143" s="96" t="n"/>
      <c r="AC143" s="96" t="n"/>
      <c r="AD143" s="96" t="n"/>
      <c r="AE143" s="96" t="n"/>
      <c r="AF143" s="96" t="n"/>
      <c r="AG143" s="96" t="n"/>
      <c r="AK143" s="97" t="inlineStr">
        <is>
          <t>Jonathan Velasquez</t>
        </is>
      </c>
      <c r="AM143" s="302" t="n"/>
      <c r="AN143" t="inlineStr">
        <is>
          <t>Consumo Masivo</t>
        </is>
      </c>
    </row>
    <row r="144" ht="30" customHeight="1">
      <c r="A144" s="98" t="inlineStr">
        <is>
          <t>N5</t>
        </is>
      </c>
      <c r="B144" s="98" t="inlineStr">
        <is>
          <t>Luz Karime Hernandez</t>
        </is>
      </c>
      <c r="C144" s="123" t="inlineStr">
        <is>
          <t>KALLEY</t>
        </is>
      </c>
      <c r="D144" s="322" t="n">
        <v>35442850</v>
      </c>
      <c r="E144" s="124" t="inlineStr">
        <is>
          <t>FRANQUICIA - EL RADAR DE VILLAR</t>
        </is>
      </c>
      <c r="F144" s="98" t="n"/>
      <c r="G144" s="98" t="n"/>
      <c r="H144" s="101" t="inlineStr">
        <is>
          <t>Entregar la propuesta digital y su valorización al ejecutivo correspondiente.</t>
        </is>
      </c>
      <c r="I144" s="99" t="n">
        <v>100</v>
      </c>
      <c r="J144" s="101" t="inlineStr">
        <is>
          <t>Realizar seguimiento a la propuesta para conocer su estado, confirmar si se concretó el cierre e identificar oportunidades de mejora.</t>
        </is>
      </c>
      <c r="K144" s="99" t="n">
        <v>50</v>
      </c>
      <c r="L144" s="98" t="n"/>
      <c r="M144" s="99" t="n">
        <v>50</v>
      </c>
      <c r="N144" s="98" t="n"/>
      <c r="O144" s="98" t="inlineStr">
        <is>
          <t>En seguimiento</t>
        </is>
      </c>
      <c r="P144" s="98">
        <f>A144&amp;"|"&amp;O144</f>
        <v/>
      </c>
      <c r="Q144" s="98" t="inlineStr">
        <is>
          <t>Media</t>
        </is>
      </c>
      <c r="R144" s="125" t="inlineStr">
        <is>
          <t>Luz Karime Hernandez</t>
        </is>
      </c>
      <c r="S144" s="98" t="inlineStr">
        <is>
          <t>JULIO</t>
        </is>
      </c>
      <c r="T144" s="106" t="n">
        <v>46253</v>
      </c>
      <c r="U144" s="106" t="n">
        <v>46254</v>
      </c>
      <c r="V144" s="158" t="n"/>
      <c r="W144" s="323" t="n">
        <v>35442850</v>
      </c>
      <c r="X144" s="96" t="n"/>
      <c r="Y144" s="96" t="n"/>
      <c r="Z144" s="96" t="n"/>
      <c r="AA144" s="96" t="n"/>
      <c r="AB144" s="96" t="n"/>
      <c r="AC144" s="96" t="n"/>
      <c r="AD144" s="96" t="n"/>
      <c r="AE144" s="96" t="n"/>
      <c r="AF144" s="96" t="n"/>
      <c r="AG144" s="96" t="n"/>
      <c r="AK144" s="97" t="inlineStr">
        <is>
          <t>Jonathan Velasquez</t>
        </is>
      </c>
      <c r="AM144" s="302" t="n"/>
      <c r="AN144" t="inlineStr">
        <is>
          <t>Tecnología</t>
        </is>
      </c>
    </row>
    <row r="145" ht="30" customHeight="1">
      <c r="A145" s="98" t="inlineStr">
        <is>
          <t>N2</t>
        </is>
      </c>
      <c r="B145" s="109" t="inlineStr">
        <is>
          <t>Luisa Escobar</t>
        </is>
      </c>
      <c r="C145" s="123" t="inlineStr">
        <is>
          <t>RUSHBET</t>
        </is>
      </c>
      <c r="D145" s="311" t="n">
        <v>0</v>
      </c>
      <c r="E145" s="124" t="inlineStr">
        <is>
          <t>FRANQUICIA - EL RADAR DE VILLAR</t>
        </is>
      </c>
      <c r="F145" s="98" t="n"/>
      <c r="G145" s="98" t="n"/>
      <c r="H145" s="101" t="inlineStr">
        <is>
          <t>Entregar la propuesta digital y su valorización al ejecutivo correspondiente.</t>
        </is>
      </c>
      <c r="I145" s="99" t="n">
        <v>100</v>
      </c>
      <c r="J145" s="101" t="inlineStr">
        <is>
          <t>Realizar seguimiento a la propuesta para conocer su estado, confirmar si se concretó el cierre e identificar oportunidades de mejora.</t>
        </is>
      </c>
      <c r="K145" s="99" t="n">
        <v>50</v>
      </c>
      <c r="L145" s="98" t="n"/>
      <c r="M145" s="99" t="n">
        <v>50</v>
      </c>
      <c r="N145" s="98" t="n"/>
      <c r="O145" s="98" t="inlineStr">
        <is>
          <t>En seguimiento</t>
        </is>
      </c>
      <c r="P145" s="98">
        <f>A145&amp;"|"&amp;O145</f>
        <v/>
      </c>
      <c r="Q145" s="98" t="inlineStr">
        <is>
          <t>Media</t>
        </is>
      </c>
      <c r="R145" s="125" t="inlineStr">
        <is>
          <t>Luisa Escobar</t>
        </is>
      </c>
      <c r="S145" s="98" t="inlineStr">
        <is>
          <t>JULIO</t>
        </is>
      </c>
      <c r="T145" s="106" t="n">
        <v>46253</v>
      </c>
      <c r="U145" s="106" t="n">
        <v>46253</v>
      </c>
      <c r="V145" s="158" t="n"/>
      <c r="W145" s="312" t="n"/>
      <c r="X145" s="96" t="n"/>
      <c r="Y145" s="96" t="n"/>
      <c r="Z145" s="96" t="n"/>
      <c r="AA145" s="96" t="n"/>
      <c r="AB145" s="96" t="n"/>
      <c r="AC145" s="96" t="n"/>
      <c r="AD145" s="96" t="n"/>
      <c r="AE145" s="96" t="n"/>
      <c r="AF145" s="96" t="n"/>
      <c r="AG145" s="96" t="n"/>
      <c r="AK145" s="97" t="inlineStr">
        <is>
          <t>Jonathan Velasquez</t>
        </is>
      </c>
      <c r="AM145" s="302" t="n"/>
      <c r="AN145" t="inlineStr">
        <is>
          <t>Tecnología</t>
        </is>
      </c>
    </row>
    <row r="146" ht="30" customHeight="1">
      <c r="A146" s="123" t="inlineStr">
        <is>
          <t>N4</t>
        </is>
      </c>
      <c r="B146" s="152" t="inlineStr">
        <is>
          <t>Luis López</t>
        </is>
      </c>
      <c r="C146" s="153" t="inlineStr">
        <is>
          <t>DR SIMI</t>
        </is>
      </c>
      <c r="D146" s="318" t="n">
        <v>31500000</v>
      </c>
      <c r="E146" s="124" t="inlineStr">
        <is>
          <t>VIDEO SECCION LA  LUCIERNGA</t>
        </is>
      </c>
      <c r="F146" s="98" t="n"/>
      <c r="G146" s="98" t="n"/>
      <c r="H146" s="101" t="inlineStr">
        <is>
          <t>Entregar la propuesta digital y su valorización al ejecutivo correspondiente.</t>
        </is>
      </c>
      <c r="I146" s="99" t="n">
        <v>100</v>
      </c>
      <c r="J146" s="101" t="inlineStr">
        <is>
          <t>Realizar seguimiento a la propuesta para conocer su estado, confirmar si se concretó el cierre e identificar oportunidades de mejora.</t>
        </is>
      </c>
      <c r="K146" s="99" t="n">
        <v>50</v>
      </c>
      <c r="L146" s="98" t="n"/>
      <c r="M146" s="99" t="n">
        <v>50</v>
      </c>
      <c r="N146" s="98" t="n"/>
      <c r="O146" s="98" t="inlineStr">
        <is>
          <t>En seguimiento</t>
        </is>
      </c>
      <c r="P146" s="98">
        <f>A146&amp;"|"&amp;O146</f>
        <v/>
      </c>
      <c r="Q146" s="98" t="inlineStr">
        <is>
          <t>Media</t>
        </is>
      </c>
      <c r="R146" s="98" t="inlineStr">
        <is>
          <t>Luis Alberto Lopez</t>
        </is>
      </c>
      <c r="S146" s="98" t="inlineStr">
        <is>
          <t>JULIO</t>
        </is>
      </c>
      <c r="T146" s="106" t="n">
        <v>46247</v>
      </c>
      <c r="U146" s="106" t="n">
        <v>46254</v>
      </c>
      <c r="V146" s="171" t="n"/>
      <c r="W146" s="319" t="n">
        <v>31500000</v>
      </c>
      <c r="X146" s="96" t="n"/>
      <c r="Y146" s="96" t="n"/>
      <c r="Z146" s="96" t="n"/>
      <c r="AA146" s="96" t="n"/>
      <c r="AB146" s="96" t="n"/>
      <c r="AC146" s="96" t="n"/>
      <c r="AD146" s="96" t="n"/>
      <c r="AE146" s="96" t="n"/>
      <c r="AF146" s="96" t="n"/>
      <c r="AG146" s="96" t="n"/>
      <c r="AK146" s="97" t="inlineStr">
        <is>
          <t>Jonathan Velasquez</t>
        </is>
      </c>
      <c r="AM146" s="302" t="n"/>
      <c r="AN146" t="inlineStr">
        <is>
          <t>Salud</t>
        </is>
      </c>
    </row>
    <row r="147">
      <c r="AN147" t="inlineStr"/>
    </row>
    <row r="148">
      <c r="AN148" t="inlineStr"/>
    </row>
    <row r="149" ht="30" customHeight="1">
      <c r="D149" s="301">
        <f>SUM(D2:D146)</f>
        <v/>
      </c>
      <c r="V149" s="324">
        <f>SUM(W2:W15,W19:W20,W31:W32,W38:W44,W48:W49,W53,W55:W56,W59,W61,W67,W67:W69,W71,W111,W112,W113,W124,W126,W131:W146)</f>
        <v/>
      </c>
      <c r="W149" s="302">
        <f>SUM(W2:W146)</f>
        <v/>
      </c>
      <c r="AK149" s="325">
        <f>SUM(W37+W70+W84+W109+W110+W125+W129)</f>
        <v/>
      </c>
      <c r="AN149" t="inlineStr"/>
    </row>
    <row r="150">
      <c r="AN150" t="inlineStr"/>
    </row>
    <row r="151" ht="30" customHeight="1">
      <c r="W151" s="302">
        <f>V149+AK149</f>
        <v/>
      </c>
      <c r="AN151" t="inlineStr"/>
    </row>
  </sheetData>
  <conditionalFormatting sqref="B2:W30 B31:C31 B33:W54 B55:U55 B56:I56 B57:W134 B135:G135 E31:G31 I31 I135 K31:R31 K56:U56 K135:U135 O32 O136:O146 Q32 Q136:Q146 T31:V31 W55:W56 W13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4">
    <dataValidation sqref="H116:H117 H130:H131 H134 H147:H1048576 I32 I38:I43 I45:I53 I55:I74 I79:I117 I130:I1048576 J2:J8 J10:J12 J14:J24 J26:J30 J33:J35 J42:J43 J45:J52 J55 J57:J119 J129:J131 J134 J147:J1048576 K26:K1048576 L2:L7 L10:L43 L45:L83 L85:L116 L119:L125 L127:L1048576 M26:M1048576 P2:P146 R2:R139 R141:R145 R147:R1048576 S31:S32 S135:S1048576 T2:U1048576 V4:V7 V10:V12 V14:V24 V26:V35 V49:W49 V51:V53 V57:V83 V85:V115 V131 V136:V137 V139:V1048576 W2:W30 W33:W48 W50:W66 W68:W137 W147:W1048576" showDropDown="0" showInputMessage="1" showErrorMessage="1" allowBlank="1"/>
    <dataValidation sqref="I2:I31 I33:I37 I44 I75:I78 I118:I129 K2:K25 M2:M25" showDropDown="0" showInputMessage="1" showErrorMessage="1" allowBlank="1" errorTitle="Tipo de dato númerico" error="Por favor ingresa un número entero en la escala del 1 al 100 para medir el avance." prompt="Por favor ingresa un número entero en la escala del 1 al 100 para medir el avance." type="whole" operator="greaterThanOrEqual">
      <formula1>0</formula1>
    </dataValidation>
    <dataValidation sqref="Q2:Q31 Q33:Q130" showDropDown="0" showInputMessage="1" showErrorMessage="1" allowBlank="1" type="list">
      <formula1>$AF$2:$AF$4</formula1>
    </dataValidation>
    <dataValidation sqref="A2:A31 A33:A45 A47:A51" showDropDown="0" showInputMessage="1" showErrorMessage="1" allowBlank="1" type="list">
      <formula1>$AB$2:$AB$8</formula1>
    </dataValidation>
  </dataValidations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2" r:id="rId10"/>
    <hyperlink xmlns:r="http://schemas.openxmlformats.org/officeDocument/2006/relationships" ref="V14" r:id="rId11"/>
    <hyperlink xmlns:r="http://schemas.openxmlformats.org/officeDocument/2006/relationships" ref="V15" r:id="rId12"/>
    <hyperlink xmlns:r="http://schemas.openxmlformats.org/officeDocument/2006/relationships" ref="V19" r:id="rId13"/>
    <hyperlink xmlns:r="http://schemas.openxmlformats.org/officeDocument/2006/relationships" ref="V20" r:id="rId14"/>
    <hyperlink xmlns:r="http://schemas.openxmlformats.org/officeDocument/2006/relationships" ref="V37" r:id="rId15"/>
    <hyperlink xmlns:r="http://schemas.openxmlformats.org/officeDocument/2006/relationships" ref="V38" r:id="rId16"/>
    <hyperlink xmlns:r="http://schemas.openxmlformats.org/officeDocument/2006/relationships" ref="V39" r:id="rId17"/>
    <hyperlink xmlns:r="http://schemas.openxmlformats.org/officeDocument/2006/relationships" ref="V40" r:id="rId18"/>
    <hyperlink xmlns:r="http://schemas.openxmlformats.org/officeDocument/2006/relationships" ref="V41" r:id="rId19"/>
    <hyperlink xmlns:r="http://schemas.openxmlformats.org/officeDocument/2006/relationships" ref="V42" r:id="rId20"/>
    <hyperlink xmlns:r="http://schemas.openxmlformats.org/officeDocument/2006/relationships" ref="V43" r:id="rId21"/>
    <hyperlink xmlns:r="http://schemas.openxmlformats.org/officeDocument/2006/relationships" ref="V44" r:id="rId22"/>
    <hyperlink xmlns:r="http://schemas.openxmlformats.org/officeDocument/2006/relationships" ref="V48" r:id="rId23"/>
    <hyperlink xmlns:r="http://schemas.openxmlformats.org/officeDocument/2006/relationships" ref="V49" r:id="rId24"/>
    <hyperlink xmlns:r="http://schemas.openxmlformats.org/officeDocument/2006/relationships" ref="V53" r:id="rId25"/>
    <hyperlink xmlns:r="http://schemas.openxmlformats.org/officeDocument/2006/relationships" ref="V55" r:id="rId26"/>
    <hyperlink xmlns:r="http://schemas.openxmlformats.org/officeDocument/2006/relationships" ref="V56" r:id="rId27"/>
    <hyperlink xmlns:r="http://schemas.openxmlformats.org/officeDocument/2006/relationships" ref="V59" r:id="rId28"/>
    <hyperlink xmlns:r="http://schemas.openxmlformats.org/officeDocument/2006/relationships" ref="V61" r:id="rId29"/>
    <hyperlink xmlns:r="http://schemas.openxmlformats.org/officeDocument/2006/relationships" ref="V67" r:id="rId30"/>
    <hyperlink xmlns:r="http://schemas.openxmlformats.org/officeDocument/2006/relationships" ref="V68" r:id="rId31"/>
    <hyperlink xmlns:r="http://schemas.openxmlformats.org/officeDocument/2006/relationships" ref="V69" r:id="rId32"/>
    <hyperlink xmlns:r="http://schemas.openxmlformats.org/officeDocument/2006/relationships" ref="V70" r:id="rId33"/>
    <hyperlink xmlns:r="http://schemas.openxmlformats.org/officeDocument/2006/relationships" ref="V71" r:id="rId34"/>
    <hyperlink xmlns:r="http://schemas.openxmlformats.org/officeDocument/2006/relationships" ref="V84" r:id="rId35"/>
    <hyperlink xmlns:r="http://schemas.openxmlformats.org/officeDocument/2006/relationships" ref="V109" r:id="rId36"/>
    <hyperlink xmlns:r="http://schemas.openxmlformats.org/officeDocument/2006/relationships" ref="V110" r:id="rId37"/>
    <hyperlink xmlns:r="http://schemas.openxmlformats.org/officeDocument/2006/relationships" ref="V111" r:id="rId38"/>
    <hyperlink xmlns:r="http://schemas.openxmlformats.org/officeDocument/2006/relationships" ref="V112" r:id="rId39"/>
    <hyperlink xmlns:r="http://schemas.openxmlformats.org/officeDocument/2006/relationships" ref="V113" r:id="rId40"/>
    <hyperlink xmlns:r="http://schemas.openxmlformats.org/officeDocument/2006/relationships" ref="V124" r:id="rId41"/>
    <hyperlink xmlns:r="http://schemas.openxmlformats.org/officeDocument/2006/relationships" ref="V126" r:id="rId42"/>
    <hyperlink xmlns:r="http://schemas.openxmlformats.org/officeDocument/2006/relationships" ref="V131" r:id="rId43"/>
    <hyperlink xmlns:r="http://schemas.openxmlformats.org/officeDocument/2006/relationships" ref="V132" r:id="rId44"/>
    <hyperlink xmlns:r="http://schemas.openxmlformats.org/officeDocument/2006/relationships" ref="V133" r:id="rId45"/>
    <hyperlink xmlns:r="http://schemas.openxmlformats.org/officeDocument/2006/relationships" ref="V134" r:id="rId46"/>
    <hyperlink xmlns:r="http://schemas.openxmlformats.org/officeDocument/2006/relationships" ref="V135" r:id="rId47"/>
    <hyperlink xmlns:r="http://schemas.openxmlformats.org/officeDocument/2006/relationships" ref="V137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r:id="rId48"/>
    <hyperlink xmlns:r="http://schemas.openxmlformats.org/officeDocument/2006/relationships" ref="V138" r:id="rId49"/>
  </hyperlinks>
  <pageMargins left="0.25" right="0.25" top="0.75" bottom="0.75" header="0.3" footer="0.3"/>
  <pageSetup orientation="portrait" paperSize="8" fitToHeight="0"/>
  <tableParts count="1">
    <tablePart xmlns:r="http://schemas.openxmlformats.org/officeDocument/2006/relationships" r:id="rId50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H6:J52"/>
  <sheetViews>
    <sheetView zoomScale="121" zoomScaleNormal="70" workbookViewId="0">
      <selection activeCell="B4" sqref="B4"/>
    </sheetView>
  </sheetViews>
  <sheetFormatPr baseColWidth="8" defaultColWidth="11.42578125" defaultRowHeight="14.45"/>
  <cols>
    <col width="16.5703125" bestFit="1" customWidth="1" min="1" max="1"/>
    <col width="22.85546875" bestFit="1" customWidth="1" min="2" max="2"/>
    <col width="44.7109375" customWidth="1" min="3" max="3"/>
    <col width="21" customWidth="1" min="4" max="4"/>
    <col width="65.5703125" customWidth="1" min="5" max="5"/>
    <col width="59.5703125" customWidth="1" min="6" max="6"/>
    <col width="58" customWidth="1" min="7" max="7"/>
    <col width="27.7109375" bestFit="1" customWidth="1" min="8" max="8"/>
    <col width="23.140625" bestFit="1" customWidth="1" min="9" max="9"/>
    <col width="30.140625" bestFit="1" customWidth="1" min="10" max="10"/>
  </cols>
  <sheetData>
    <row r="6">
      <c r="H6" s="91" t="inlineStr">
        <is>
          <t>Etiquetas de fila</t>
        </is>
      </c>
      <c r="I6" t="inlineStr">
        <is>
          <t>Suma de VENTA ESTIMADA</t>
        </is>
      </c>
      <c r="J6" t="inlineStr">
        <is>
          <t>Suma de VALOR DE LA PROPUESTA</t>
        </is>
      </c>
    </row>
    <row r="7">
      <c r="H7" s="92" t="inlineStr">
        <is>
          <t>ALIANZAS</t>
        </is>
      </c>
      <c r="I7" s="326" t="n">
        <v>20000000</v>
      </c>
      <c r="J7" s="326" t="n">
        <v>20000000</v>
      </c>
    </row>
    <row r="8">
      <c r="H8" s="93" t="inlineStr">
        <is>
          <t>En seguimiento</t>
        </is>
      </c>
      <c r="I8" s="326" t="n">
        <v>20000000</v>
      </c>
      <c r="J8" s="326" t="n">
        <v>20000000</v>
      </c>
    </row>
    <row r="9">
      <c r="H9" s="95" t="inlineStr">
        <is>
          <t>ALIANZAS</t>
        </is>
      </c>
      <c r="I9" s="326" t="n">
        <v>20000000</v>
      </c>
      <c r="J9" s="326" t="n">
        <v>20000000</v>
      </c>
    </row>
    <row r="10">
      <c r="H10" s="92" t="inlineStr">
        <is>
          <t>N1</t>
        </is>
      </c>
      <c r="I10" s="326" t="n">
        <v>245000000</v>
      </c>
      <c r="J10" s="326" t="n">
        <v>285034863</v>
      </c>
    </row>
    <row r="11">
      <c r="H11" s="93" t="inlineStr">
        <is>
          <t>Cerrada</t>
        </is>
      </c>
      <c r="I11" s="326" t="n">
        <v>15000000</v>
      </c>
      <c r="J11" s="326" t="n">
        <v>17000000</v>
      </c>
    </row>
    <row r="12">
      <c r="H12" s="95" t="inlineStr">
        <is>
          <t>Felipe Guillen</t>
        </is>
      </c>
      <c r="I12" s="326" t="n">
        <v>15000000</v>
      </c>
      <c r="J12" s="326" t="n">
        <v>17000000</v>
      </c>
    </row>
    <row r="13">
      <c r="H13" s="93" t="inlineStr">
        <is>
          <t>En seguimiento</t>
        </is>
      </c>
      <c r="I13" s="326" t="n">
        <v>230000000</v>
      </c>
      <c r="J13" s="326" t="n">
        <v>268034863</v>
      </c>
    </row>
    <row r="14">
      <c r="H14" s="95" t="inlineStr">
        <is>
          <t>Andrea Morales</t>
        </is>
      </c>
      <c r="I14" s="326" t="n">
        <v>50000000</v>
      </c>
      <c r="J14" s="326" t="n">
        <v>76000000</v>
      </c>
    </row>
    <row r="15">
      <c r="H15" s="95" t="inlineStr">
        <is>
          <t>Carolina Diaz</t>
        </is>
      </c>
      <c r="I15" s="326" t="n">
        <v>110000000</v>
      </c>
      <c r="J15" s="326" t="n">
        <v>117420000</v>
      </c>
    </row>
    <row r="16">
      <c r="H16" s="95" t="inlineStr">
        <is>
          <t>Jaidy Morales</t>
        </is>
      </c>
      <c r="I16" s="326" t="n">
        <v>40000000</v>
      </c>
      <c r="J16" s="326" t="n">
        <v>42014863</v>
      </c>
    </row>
    <row r="17">
      <c r="H17" s="95" t="inlineStr">
        <is>
          <t>Natalia Zambrano</t>
        </is>
      </c>
      <c r="I17" s="326" t="n">
        <v>30000000</v>
      </c>
      <c r="J17" s="326" t="n">
        <v>32600000</v>
      </c>
    </row>
    <row r="18">
      <c r="H18" s="92" t="inlineStr">
        <is>
          <t>N2</t>
        </is>
      </c>
      <c r="I18" s="326" t="n">
        <v>141489172</v>
      </c>
      <c r="J18" s="326" t="n">
        <v>214444200</v>
      </c>
    </row>
    <row r="19">
      <c r="H19" s="93" t="inlineStr">
        <is>
          <t>En seguimiento</t>
        </is>
      </c>
      <c r="I19" s="326" t="n">
        <v>71489172</v>
      </c>
      <c r="J19" s="326" t="n">
        <v>144444200</v>
      </c>
    </row>
    <row r="20">
      <c r="H20" s="95" t="inlineStr">
        <is>
          <t>Camilo Prada</t>
        </is>
      </c>
      <c r="I20" s="326" t="n">
        <v>42050587</v>
      </c>
      <c r="J20" s="326" t="n">
        <v>60000000</v>
      </c>
    </row>
    <row r="21">
      <c r="H21" s="95" t="inlineStr">
        <is>
          <t>Luisa Escobar</t>
        </is>
      </c>
      <c r="I21" s="326" t="n">
        <v>29438585</v>
      </c>
      <c r="J21" s="326" t="n">
        <v>84444200</v>
      </c>
    </row>
    <row r="22">
      <c r="H22" s="93" t="inlineStr">
        <is>
          <t>Por cerrar</t>
        </is>
      </c>
      <c r="I22" s="326" t="n">
        <v>70000000</v>
      </c>
      <c r="J22" s="326" t="n">
        <v>70000000</v>
      </c>
    </row>
    <row r="23">
      <c r="H23" s="95" t="inlineStr">
        <is>
          <t>Lina Lemus</t>
        </is>
      </c>
      <c r="I23" s="326" t="n">
        <v>70000000</v>
      </c>
      <c r="J23" s="326" t="n">
        <v>70000000</v>
      </c>
    </row>
    <row r="24">
      <c r="H24" s="92" t="inlineStr">
        <is>
          <t>N3</t>
        </is>
      </c>
      <c r="I24" s="326" t="n">
        <v>180000000</v>
      </c>
      <c r="J24" s="326" t="n">
        <v>189503340</v>
      </c>
    </row>
    <row r="25">
      <c r="H25" s="93" t="inlineStr">
        <is>
          <t>Cerrada</t>
        </is>
      </c>
      <c r="I25" s="326" t="n">
        <v>5000000</v>
      </c>
      <c r="J25" s="326" t="n">
        <v>5500000</v>
      </c>
    </row>
    <row r="26">
      <c r="H26" s="95" t="inlineStr">
        <is>
          <t xml:space="preserve">Laura Calvera </t>
        </is>
      </c>
      <c r="I26" s="326" t="n">
        <v>5000000</v>
      </c>
      <c r="J26" s="326" t="n">
        <v>5500000</v>
      </c>
    </row>
    <row r="27">
      <c r="H27" s="93" t="inlineStr">
        <is>
          <t>En seguimiento</t>
        </is>
      </c>
      <c r="I27" s="326" t="n">
        <v>125000000</v>
      </c>
      <c r="J27" s="326" t="n">
        <v>133317280</v>
      </c>
    </row>
    <row r="28">
      <c r="H28" s="95" t="inlineStr">
        <is>
          <t>Diana Andrea Rodriguez</t>
        </is>
      </c>
      <c r="I28" s="326" t="n">
        <v>30000000</v>
      </c>
      <c r="J28" s="326" t="n">
        <v>30000000</v>
      </c>
    </row>
    <row r="29">
      <c r="H29" s="95" t="inlineStr">
        <is>
          <t>Helen Fajardo</t>
        </is>
      </c>
      <c r="I29" s="326" t="n">
        <v>40000000</v>
      </c>
      <c r="J29" s="326" t="n">
        <v>46437280</v>
      </c>
    </row>
    <row r="30">
      <c r="H30" s="95" t="inlineStr">
        <is>
          <t>Laura Melo</t>
        </is>
      </c>
      <c r="I30" s="326" t="n">
        <v>15000000</v>
      </c>
      <c r="J30" s="326" t="n">
        <v>16880000</v>
      </c>
    </row>
    <row r="31">
      <c r="H31" s="95" t="inlineStr">
        <is>
          <t>Diana Rodriguez</t>
        </is>
      </c>
      <c r="I31" s="326" t="n">
        <v>40000000</v>
      </c>
      <c r="J31" s="326" t="n">
        <v>40000000</v>
      </c>
    </row>
    <row r="32">
      <c r="H32" s="93" t="inlineStr">
        <is>
          <t>Por cerrar</t>
        </is>
      </c>
      <c r="I32" s="326" t="n">
        <v>50000000</v>
      </c>
      <c r="J32" s="326" t="n">
        <v>50686060</v>
      </c>
    </row>
    <row r="33">
      <c r="H33" s="95" t="inlineStr">
        <is>
          <t>Diana Andrea Rodiguez</t>
        </is>
      </c>
      <c r="I33" s="326" t="n">
        <v>50000000</v>
      </c>
      <c r="J33" s="326" t="n">
        <v>50686060</v>
      </c>
    </row>
    <row r="34">
      <c r="H34" s="92" t="inlineStr">
        <is>
          <t>N4</t>
        </is>
      </c>
      <c r="I34" s="326" t="n">
        <v>168000000</v>
      </c>
      <c r="J34" s="326" t="n">
        <v>161857700</v>
      </c>
    </row>
    <row r="35">
      <c r="H35" s="93" t="inlineStr">
        <is>
          <t>Cerrada</t>
        </is>
      </c>
      <c r="I35" s="326" t="n">
        <v>123000000</v>
      </c>
      <c r="J35" s="326" t="n">
        <v>123577700</v>
      </c>
    </row>
    <row r="36">
      <c r="H36" s="95" t="inlineStr">
        <is>
          <t>Karen Perez</t>
        </is>
      </c>
      <c r="I36" s="326" t="n">
        <v>23000000</v>
      </c>
      <c r="J36" s="326" t="n">
        <v>23577700</v>
      </c>
    </row>
    <row r="37">
      <c r="H37" s="95" t="inlineStr">
        <is>
          <t>Luis López</t>
        </is>
      </c>
      <c r="I37" s="326" t="n">
        <v>100000000</v>
      </c>
      <c r="J37" s="326" t="n">
        <v>100000000</v>
      </c>
    </row>
    <row r="38">
      <c r="H38" s="93" t="inlineStr">
        <is>
          <t>En seguimiento</t>
        </is>
      </c>
      <c r="I38" s="326" t="n">
        <v>45000000</v>
      </c>
      <c r="J38" s="326" t="n">
        <v>38280000</v>
      </c>
    </row>
    <row r="39">
      <c r="H39" s="95" t="inlineStr">
        <is>
          <t>Karen Perez</t>
        </is>
      </c>
      <c r="I39" s="326" t="n">
        <v>45000000</v>
      </c>
      <c r="J39" s="326" t="n">
        <v>38280000</v>
      </c>
    </row>
    <row r="40">
      <c r="H40" s="92" t="inlineStr">
        <is>
          <t>N5</t>
        </is>
      </c>
      <c r="I40" s="326" t="n">
        <v>286700000</v>
      </c>
      <c r="J40" s="326" t="n">
        <v>288164200</v>
      </c>
    </row>
    <row r="41">
      <c r="H41" s="93" t="inlineStr">
        <is>
          <t>Cerrada</t>
        </is>
      </c>
      <c r="I41" s="326" t="n">
        <v>20000000</v>
      </c>
      <c r="J41" s="326" t="n">
        <v>18000000</v>
      </c>
    </row>
    <row r="42">
      <c r="H42" s="95" t="inlineStr">
        <is>
          <t xml:space="preserve">Carol Beltan </t>
        </is>
      </c>
      <c r="I42" s="326" t="n">
        <v>20000000</v>
      </c>
      <c r="J42" s="326" t="n">
        <v>18000000</v>
      </c>
    </row>
    <row r="43">
      <c r="H43" s="93" t="inlineStr">
        <is>
          <t>En seguimiento</t>
        </is>
      </c>
      <c r="I43" s="326" t="n">
        <v>218700000</v>
      </c>
      <c r="J43" s="326" t="n">
        <v>222164200</v>
      </c>
    </row>
    <row r="44">
      <c r="H44" s="95" t="inlineStr">
        <is>
          <t xml:space="preserve">Carol Beltan </t>
        </is>
      </c>
      <c r="I44" s="326" t="n">
        <v>138000000</v>
      </c>
      <c r="J44" s="326" t="n">
        <v>158500000</v>
      </c>
    </row>
    <row r="45">
      <c r="H45" s="95" t="inlineStr">
        <is>
          <t>Luz Karime Hernandez</t>
        </is>
      </c>
      <c r="I45" s="326" t="n">
        <v>45700000</v>
      </c>
      <c r="J45" s="326" t="n">
        <v>24664200</v>
      </c>
    </row>
    <row r="46">
      <c r="H46" s="95" t="inlineStr">
        <is>
          <t xml:space="preserve">Raul Herrera </t>
        </is>
      </c>
      <c r="I46" s="326" t="n">
        <v>35000000</v>
      </c>
      <c r="J46" s="326" t="n">
        <v>39000000</v>
      </c>
    </row>
    <row r="47">
      <c r="H47" s="93" t="inlineStr">
        <is>
          <t>Por cerrar</t>
        </is>
      </c>
      <c r="I47" s="326" t="n">
        <v>48000000</v>
      </c>
      <c r="J47" s="326" t="n">
        <v>48000000</v>
      </c>
    </row>
    <row r="48">
      <c r="H48" s="95" t="inlineStr">
        <is>
          <t>Luz Karime Hernandez</t>
        </is>
      </c>
      <c r="I48" s="326" t="n">
        <v>48000000</v>
      </c>
      <c r="J48" s="326" t="n">
        <v>48000000</v>
      </c>
    </row>
    <row r="49">
      <c r="H49" s="92" t="inlineStr">
        <is>
          <t>PRODUCTOS GENERALES</t>
        </is>
      </c>
      <c r="I49" s="326" t="n">
        <v>220000000</v>
      </c>
      <c r="J49" s="326" t="n">
        <v>220000000</v>
      </c>
    </row>
    <row r="50">
      <c r="H50" s="93" t="inlineStr">
        <is>
          <t>En seguimiento</t>
        </is>
      </c>
      <c r="I50" s="326" t="n">
        <v>220000000</v>
      </c>
      <c r="J50" s="326" t="n">
        <v>220000000</v>
      </c>
    </row>
    <row r="51">
      <c r="H51" s="95" t="inlineStr">
        <is>
          <t>PRODUCTOS GENERALES</t>
        </is>
      </c>
      <c r="I51" s="326" t="n">
        <v>220000000</v>
      </c>
      <c r="J51" s="326" t="n">
        <v>220000000</v>
      </c>
    </row>
    <row r="52">
      <c r="H52" s="92" t="inlineStr">
        <is>
          <t>Total general</t>
        </is>
      </c>
      <c r="I52" s="326" t="n">
        <v>1261189172</v>
      </c>
      <c r="J52" s="326" t="n">
        <v>1379004303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2026-05-29T19:31:59Z</dcterms:created>
  <dcterms:modified xmlns:dcterms="http://purl.org/dc/terms/" xmlns:xsi="http://www.w3.org/2001/XMLSchema-instance" xsi:type="dcterms:W3CDTF">2026-08-28T16:55:07Z</dcterms:modified>
  <cp:lastModifiedBy>Usuario invitado</cp:lastModifiedBy>
</cp:coreProperties>
</file>

<file path=docProps/custom.xml><?xml version="1.0" encoding="utf-8"?>
<Properties xmlns="http://schemas.openxmlformats.org/officeDocument/2006/custom-properties">
  <property name="MSIP_Label_93cd9466-8d4e-4a56-b721-1076610ba137_Enabled" fmtid="{D5CDD505-2E9C-101B-9397-08002B2CF9AE}" pid="2">
    <vt:lpwstr xmlns:vt="http://schemas.openxmlformats.org/officeDocument/2006/docPropsVTypes">true</vt:lpwstr>
  </property>
  <property name="MSIP_Label_93cd9466-8d4e-4a56-b721-1076610ba137_SetDate" fmtid="{D5CDD505-2E9C-101B-9397-08002B2CF9AE}" pid="3">
    <vt:lpwstr xmlns:vt="http://schemas.openxmlformats.org/officeDocument/2006/docPropsVTypes">2026-05-29T17:39:31Z</vt:lpwstr>
  </property>
  <property name="MSIP_Label_93cd9466-8d4e-4a56-b721-1076610ba137_Method" fmtid="{D5CDD505-2E9C-101B-9397-08002B2CF9AE}" pid="4">
    <vt:lpwstr xmlns:vt="http://schemas.openxmlformats.org/officeDocument/2006/docPropsVTypes">Standard</vt:lpwstr>
  </property>
  <property name="MSIP_Label_93cd9466-8d4e-4a56-b721-1076610ba137_Name" fmtid="{D5CDD505-2E9C-101B-9397-08002B2CF9AE}" pid="5">
    <vt:lpwstr xmlns:vt="http://schemas.openxmlformats.org/officeDocument/2006/docPropsVTypes">General</vt:lpwstr>
  </property>
  <property name="MSIP_Label_93cd9466-8d4e-4a56-b721-1076610ba137_SiteId" fmtid="{D5CDD505-2E9C-101B-9397-08002B2CF9AE}" pid="6">
    <vt:lpwstr xmlns:vt="http://schemas.openxmlformats.org/officeDocument/2006/docPropsVTypes">c4fd49f3-e15a-44d8-82e2-c909735d2e45</vt:lpwstr>
  </property>
  <property name="MSIP_Label_93cd9466-8d4e-4a56-b721-1076610ba137_ActionId" fmtid="{D5CDD505-2E9C-101B-9397-08002B2CF9AE}" pid="7">
    <vt:lpwstr xmlns:vt="http://schemas.openxmlformats.org/officeDocument/2006/docPropsVTypes">abe4ece1-58df-430c-b584-fb3c496f19aa</vt:lpwstr>
  </property>
  <property name="MSIP_Label_93cd9466-8d4e-4a56-b721-1076610ba137_ContentBits" fmtid="{D5CDD505-2E9C-101B-9397-08002B2CF9AE}" pid="8">
    <vt:lpwstr xmlns:vt="http://schemas.openxmlformats.org/officeDocument/2006/docPropsVTypes">0</vt:lpwstr>
  </property>
  <property name="MSIP_Label_93cd9466-8d4e-4a56-b721-1076610ba137_Tag" fmtid="{D5CDD505-2E9C-101B-9397-08002B2CF9AE}" pid="9">
    <vt:lpwstr xmlns:vt="http://schemas.openxmlformats.org/officeDocument/2006/docPropsVTypes">10, 3, 0, 2</vt:lpwstr>
  </property>
</Properties>
</file>