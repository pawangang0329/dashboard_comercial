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grupoprisa-my.sharepoint.com/personal/juangodoy_est_caracol_com_co/Documents/Documentos/"/>
    </mc:Choice>
  </mc:AlternateContent>
  <xr:revisionPtr revIDLastSave="0" documentId="8_{22D24AA8-83B1-4699-9B4B-224316A3C8DE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Tablero_Comercial" sheetId="1" state="hidden" r:id="rId1"/>
    <sheet name="Instrucciones" sheetId="5" state="hidden" r:id="rId2"/>
    <sheet name="ESTATUS INNOVACIÓN DIGITAL" sheetId="2" r:id="rId3"/>
    <sheet name="TABLAS DE DATA" sheetId="7" r:id="rId4"/>
  </sheets>
  <definedNames>
    <definedName name="_xlnm._FilterDatabase" localSheetId="2" hidden="1">'ESTATUS INNOVACIÓN DIGITAL'!$AJ$1:$AK$127</definedName>
    <definedName name="SegmentaciónDeDatos_EQUIPO">#N/A</definedName>
  </definedNames>
  <calcPr calcId="191028"/>
  <pivotCaches>
    <pivotCache cacheId="30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6" i="2" l="1"/>
  <c r="P206" i="2"/>
  <c r="R205" i="2"/>
  <c r="P205" i="2"/>
  <c r="R204" i="2"/>
  <c r="P204" i="2"/>
  <c r="R203" i="2"/>
  <c r="P203" i="2"/>
  <c r="R202" i="2"/>
  <c r="P202" i="2"/>
  <c r="R201" i="2"/>
  <c r="P201" i="2"/>
  <c r="R200" i="2"/>
  <c r="P200" i="2"/>
  <c r="P199" i="2"/>
  <c r="R117" i="2"/>
  <c r="P117" i="2"/>
  <c r="R198" i="2"/>
  <c r="P198" i="2"/>
  <c r="P197" i="2"/>
  <c r="P196" i="2"/>
  <c r="R196" i="2"/>
  <c r="P195" i="2"/>
  <c r="P194" i="2"/>
  <c r="R194" i="2"/>
  <c r="P193" i="2"/>
  <c r="R193" i="2"/>
  <c r="P192" i="2"/>
  <c r="R192" i="2"/>
  <c r="P191" i="2"/>
  <c r="R188" i="2"/>
  <c r="R189" i="2"/>
  <c r="R190" i="2"/>
  <c r="R191" i="2"/>
  <c r="P190" i="2"/>
  <c r="P189" i="2"/>
  <c r="P188" i="2"/>
  <c r="P187" i="2"/>
  <c r="R187" i="2"/>
  <c r="P186" i="2"/>
  <c r="R186" i="2"/>
  <c r="R185" i="2"/>
  <c r="P185" i="2"/>
  <c r="R183" i="2"/>
  <c r="R184" i="2"/>
  <c r="P184" i="2"/>
  <c r="P183" i="2"/>
  <c r="P178" i="2"/>
  <c r="R178" i="2"/>
  <c r="P179" i="2"/>
  <c r="R179" i="2"/>
  <c r="P180" i="2"/>
  <c r="R180" i="2"/>
  <c r="P181" i="2"/>
  <c r="R181" i="2"/>
  <c r="P182" i="2"/>
  <c r="R182" i="2"/>
  <c r="R177" i="2"/>
  <c r="P177" i="2"/>
  <c r="R176" i="2"/>
  <c r="P176" i="2"/>
  <c r="R175" i="2"/>
  <c r="P175" i="2"/>
  <c r="P166" i="2"/>
  <c r="P169" i="2"/>
  <c r="R169" i="2"/>
  <c r="P170" i="2"/>
  <c r="R170" i="2"/>
  <c r="P171" i="2"/>
  <c r="R171" i="2"/>
  <c r="P172" i="2"/>
  <c r="R172" i="2"/>
  <c r="P173" i="2"/>
  <c r="R173" i="2"/>
  <c r="P174" i="2"/>
  <c r="R174" i="2"/>
  <c r="P168" i="2"/>
  <c r="R168" i="2"/>
  <c r="R166" i="2"/>
  <c r="P167" i="2"/>
  <c r="R167" i="2"/>
  <c r="P165" i="2"/>
  <c r="R165" i="2"/>
  <c r="R163" i="2"/>
  <c r="R164" i="2"/>
  <c r="R145" i="2"/>
  <c r="R146" i="2"/>
  <c r="R147" i="2"/>
  <c r="R148" i="2"/>
  <c r="R149" i="2"/>
  <c r="R144" i="2"/>
  <c r="R142" i="2"/>
  <c r="R143" i="2"/>
  <c r="R3" i="2"/>
  <c r="R4" i="2"/>
  <c r="R5" i="2"/>
  <c r="R6" i="2"/>
  <c r="R7" i="2"/>
  <c r="R8" i="2"/>
  <c r="R9" i="2"/>
  <c r="R10" i="2"/>
  <c r="R11" i="2"/>
  <c r="R12" i="2"/>
  <c r="R13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4" i="2"/>
  <c r="R115" i="2"/>
  <c r="R116" i="2"/>
  <c r="R118" i="2"/>
  <c r="R119" i="2"/>
  <c r="R120" i="2"/>
  <c r="R121" i="2"/>
  <c r="R122" i="2"/>
  <c r="R123" i="2"/>
  <c r="R124" i="2"/>
  <c r="R125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1" i="2"/>
  <c r="P164" i="2"/>
  <c r="P163" i="2"/>
  <c r="R162" i="2"/>
  <c r="P162" i="2"/>
  <c r="P154" i="2"/>
  <c r="R154" i="2"/>
  <c r="P161" i="2"/>
  <c r="R161" i="2"/>
  <c r="P160" i="2"/>
  <c r="R160" i="2"/>
  <c r="R159" i="2"/>
  <c r="P159" i="2"/>
  <c r="R158" i="2"/>
  <c r="P158" i="2"/>
  <c r="R157" i="2"/>
  <c r="P157" i="2"/>
  <c r="P153" i="2"/>
  <c r="R153" i="2"/>
  <c r="P156" i="2"/>
  <c r="R156" i="2"/>
  <c r="P155" i="2"/>
  <c r="R155" i="2"/>
  <c r="R150" i="2"/>
  <c r="R151" i="2"/>
  <c r="R152" i="2"/>
  <c r="P152" i="2"/>
  <c r="P151" i="2"/>
  <c r="P150" i="2"/>
  <c r="P149" i="2"/>
  <c r="P148" i="2"/>
  <c r="P147" i="2"/>
  <c r="P146" i="2"/>
  <c r="P145" i="2"/>
  <c r="P144" i="2"/>
  <c r="P143" i="2"/>
  <c r="P140" i="2"/>
  <c r="P142" i="2"/>
  <c r="P32" i="2"/>
  <c r="AM84" i="2"/>
  <c r="P141" i="2"/>
  <c r="P137" i="2"/>
  <c r="P20" i="2"/>
  <c r="P139" i="2"/>
  <c r="P138" i="2"/>
  <c r="P136" i="2"/>
  <c r="P135" i="2"/>
  <c r="P68" i="2"/>
  <c r="P134" i="2"/>
  <c r="P112" i="2"/>
  <c r="P133" i="2"/>
  <c r="P111" i="2"/>
  <c r="P70" i="2"/>
  <c r="P43" i="2"/>
  <c r="P44" i="2"/>
  <c r="P45" i="2"/>
  <c r="P60" i="2"/>
  <c r="P46" i="2"/>
  <c r="P47" i="2"/>
  <c r="P48" i="2"/>
  <c r="P49" i="2"/>
  <c r="P50" i="2"/>
  <c r="P51" i="2"/>
  <c r="P52" i="2"/>
  <c r="P113" i="2"/>
  <c r="P114" i="2"/>
  <c r="P115" i="2"/>
  <c r="P116" i="2"/>
  <c r="P118" i="2"/>
  <c r="P119" i="2"/>
  <c r="P120" i="2"/>
  <c r="P121" i="2"/>
  <c r="P122" i="2"/>
  <c r="P123" i="2"/>
  <c r="P71" i="2"/>
  <c r="P75" i="2"/>
  <c r="P76" i="2"/>
  <c r="P77" i="2"/>
  <c r="P78" i="2"/>
  <c r="P79" i="2"/>
  <c r="P80" i="2"/>
  <c r="P81" i="2"/>
  <c r="P82" i="2"/>
  <c r="P83" i="2"/>
  <c r="P4" i="2"/>
  <c r="P5" i="2"/>
  <c r="P124" i="2"/>
  <c r="P2" i="2"/>
  <c r="P6" i="2"/>
  <c r="P3" i="2"/>
  <c r="P7" i="2"/>
  <c r="P15" i="2"/>
  <c r="P53" i="2"/>
  <c r="P8" i="2"/>
  <c r="P61" i="2"/>
  <c r="P9" i="2"/>
  <c r="P10" i="2"/>
  <c r="P11" i="2"/>
  <c r="P12" i="2"/>
  <c r="P13" i="2"/>
  <c r="P84" i="2"/>
  <c r="P125" i="2"/>
  <c r="P126" i="2"/>
  <c r="P16" i="2"/>
  <c r="P17" i="2"/>
  <c r="P18" i="2"/>
  <c r="P19" i="2"/>
  <c r="P21" i="2"/>
  <c r="P22" i="2"/>
  <c r="P23" i="2"/>
  <c r="P24" i="2"/>
  <c r="P25" i="2"/>
  <c r="P26" i="2"/>
  <c r="P27" i="2"/>
  <c r="P28" i="2"/>
  <c r="P29" i="2"/>
  <c r="P30" i="2"/>
  <c r="P31" i="2"/>
  <c r="P33" i="2"/>
  <c r="P34" i="2"/>
  <c r="P35" i="2"/>
  <c r="P36" i="2"/>
  <c r="P54" i="2"/>
  <c r="P55" i="2"/>
  <c r="P56" i="2"/>
  <c r="P57" i="2"/>
  <c r="P58" i="2"/>
  <c r="P62" i="2"/>
  <c r="P63" i="2"/>
  <c r="P64" i="2"/>
  <c r="P65" i="2"/>
  <c r="P66" i="2"/>
  <c r="P67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27" i="2"/>
  <c r="P128" i="2"/>
  <c r="P129" i="2"/>
  <c r="P130" i="2"/>
  <c r="P72" i="2"/>
  <c r="P73" i="2"/>
  <c r="P74" i="2"/>
  <c r="P37" i="2"/>
  <c r="P59" i="2"/>
  <c r="P38" i="2"/>
  <c r="P131" i="2"/>
  <c r="P132" i="2"/>
  <c r="P39" i="2"/>
  <c r="P40" i="2"/>
  <c r="P41" i="2"/>
  <c r="P42" i="2"/>
  <c r="P109" i="2"/>
  <c r="P69" i="2"/>
  <c r="P14" i="2"/>
  <c r="P110" i="2"/>
  <c r="R2" i="2"/>
  <c r="AG60" i="2" l="1"/>
  <c r="AG46" i="2"/>
  <c r="AG47" i="2"/>
  <c r="AG48" i="2"/>
  <c r="AG49" i="2"/>
  <c r="AG50" i="2"/>
  <c r="AG51" i="2"/>
  <c r="AG52" i="2"/>
  <c r="AG113" i="2"/>
  <c r="AG114" i="2"/>
  <c r="AG115" i="2"/>
  <c r="AG116" i="2"/>
  <c r="AG44" i="2"/>
  <c r="AG45" i="2"/>
  <c r="AG43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<sst xmlns="http://schemas.openxmlformats.org/spreadsheetml/2006/main" count="2474" uniqueCount="654">
  <si>
    <t>N1</t>
  </si>
  <si>
    <t>N2</t>
  </si>
  <si>
    <t>N3</t>
  </si>
  <si>
    <t>N4</t>
  </si>
  <si>
    <t>N5</t>
  </si>
  <si>
    <t>EJECUTIVO</t>
  </si>
  <si>
    <t>RESPONSABLE</t>
  </si>
  <si>
    <t>CUENTAS</t>
  </si>
  <si>
    <t>NECESIDAD PRINCIPAL</t>
  </si>
  <si>
    <t>OPORTUNIDAD</t>
  </si>
  <si>
    <t>yale</t>
  </si>
  <si>
    <t>mercado libre</t>
  </si>
  <si>
    <t>falabella</t>
  </si>
  <si>
    <t>solo quieren digital y buscan diferencia más alla de un e-commerce</t>
  </si>
  <si>
    <t>ALCIAUTOS</t>
  </si>
  <si>
    <t>coca-cola</t>
  </si>
  <si>
    <t>cafam</t>
  </si>
  <si>
    <t>cencosud</t>
  </si>
  <si>
    <t>Claro</t>
  </si>
  <si>
    <t>e-commerce / venta digital, tecnologia, ciberseguridad, servisios de fibra, facturacion electronica</t>
  </si>
  <si>
    <t>ALLIANZ SEGUROS</t>
  </si>
  <si>
    <t>bavaria</t>
  </si>
  <si>
    <t>amazon / logistica / e-commerce /  servicios</t>
  </si>
  <si>
    <t>jumbo</t>
  </si>
  <si>
    <t>Politecnico</t>
  </si>
  <si>
    <t>Leads - calidad - no registro - matricula</t>
  </si>
  <si>
    <t>AUTOGERMANA</t>
  </si>
  <si>
    <t>movistar</t>
  </si>
  <si>
    <t>koala</t>
  </si>
  <si>
    <t>vanti</t>
  </si>
  <si>
    <t>corona</t>
  </si>
  <si>
    <t xml:space="preserve">este año su campaña es muy visual NSE alto / se le ha ofrecido figital pero no les gusta </t>
  </si>
  <si>
    <t>BBVA</t>
  </si>
  <si>
    <t>decathlon</t>
  </si>
  <si>
    <t>nissan</t>
  </si>
  <si>
    <t>que tenemos para automotriz</t>
  </si>
  <si>
    <t>davivienda</t>
  </si>
  <si>
    <t>U area andina</t>
  </si>
  <si>
    <t>Leads - calidad x inscripciones</t>
  </si>
  <si>
    <t>BAT - BRITSH AMERICAN TOBACCO</t>
  </si>
  <si>
    <t>compensar</t>
  </si>
  <si>
    <t>porche</t>
  </si>
  <si>
    <t>un bank</t>
  </si>
  <si>
    <t>Motai</t>
  </si>
  <si>
    <t>es un app para comprar Moto facil, la idea es mostrar como  es de facil adquirir su moto. Preosupesto bajo</t>
  </si>
  <si>
    <t>BROWN FORMAN</t>
  </si>
  <si>
    <t>Rappi</t>
  </si>
  <si>
    <t>necesitan incrementar su ticket diario</t>
  </si>
  <si>
    <t>samsung</t>
  </si>
  <si>
    <t>ESTADO</t>
  </si>
  <si>
    <t>paramo</t>
  </si>
  <si>
    <t>solo nos ven como radio pero hacen pauta en otro lado, necesitamos vendernos como plataforma digital</t>
  </si>
  <si>
    <t>CASTROL</t>
  </si>
  <si>
    <t>construtoras planificadas</t>
  </si>
  <si>
    <t>con que estrategia podriamos dar a conocer más a fondo los proyectos inmobiliarios que tienen</t>
  </si>
  <si>
    <t>plexi</t>
  </si>
  <si>
    <t>PRIORIDAD</t>
  </si>
  <si>
    <t xml:space="preserve">Alta </t>
  </si>
  <si>
    <t>CODERE COLOMBIA</t>
  </si>
  <si>
    <t>banco de occidente</t>
  </si>
  <si>
    <t>llevan mas de un año sin comprar. Cuenta de ahorros que renta, inversion colombianos</t>
  </si>
  <si>
    <t>primax</t>
  </si>
  <si>
    <t>PLAN DE ACCIÓN 1</t>
  </si>
  <si>
    <t>COLCAN - VITALEA LAB</t>
  </si>
  <si>
    <t>colsanitas</t>
  </si>
  <si>
    <t>PLAN DE ACCIÓN 2</t>
  </si>
  <si>
    <t>COVINOC</t>
  </si>
  <si>
    <t>proseguro</t>
  </si>
  <si>
    <t>PLAN DE ACCIÓN 3</t>
  </si>
  <si>
    <t>COVO</t>
  </si>
  <si>
    <t>adidas</t>
  </si>
  <si>
    <t>RESULTADO ESPERADO</t>
  </si>
  <si>
    <t>EGALITE</t>
  </si>
  <si>
    <t>kellogs</t>
  </si>
  <si>
    <t>VENTAS ESTIMADAS</t>
  </si>
  <si>
    <t>Pendiente</t>
  </si>
  <si>
    <t>FORD</t>
  </si>
  <si>
    <t>ajinomoto</t>
  </si>
  <si>
    <t>GENCELL</t>
  </si>
  <si>
    <t>knorr</t>
  </si>
  <si>
    <t>ISHOP</t>
  </si>
  <si>
    <t>supermercado makro</t>
  </si>
  <si>
    <t>KFC - INVERSIONES INT COLOMBIA</t>
  </si>
  <si>
    <t>casaluke</t>
  </si>
  <si>
    <t>MAZDA</t>
  </si>
  <si>
    <t>alqueria</t>
  </si>
  <si>
    <t>MEDPLUS</t>
  </si>
  <si>
    <t>volvo</t>
  </si>
  <si>
    <t>PASH - OSTU</t>
  </si>
  <si>
    <t>caja social</t>
  </si>
  <si>
    <t>PAVCO</t>
  </si>
  <si>
    <t xml:space="preserve">arturo calle </t>
  </si>
  <si>
    <t>PAX ASSISTANCE</t>
  </si>
  <si>
    <t>ramo</t>
  </si>
  <si>
    <t>SC JOHNSON</t>
  </si>
  <si>
    <t>spotify</t>
  </si>
  <si>
    <t>SIKA</t>
  </si>
  <si>
    <t>UIP</t>
  </si>
  <si>
    <t>URBANSA</t>
  </si>
  <si>
    <t>WIN SPORTS</t>
  </si>
  <si>
    <t>1. Completa todos los campos.</t>
  </si>
  <si>
    <t>2. Da clic en GUARDAR CUENTA.</t>
  </si>
  <si>
    <t>3. Espera confirmación.</t>
  </si>
  <si>
    <t>4. No cierres antes de guardar.</t>
  </si>
  <si>
    <t>5. Si ocurre error, contactar al gestor.</t>
  </si>
  <si>
    <t>EQUIPO</t>
  </si>
  <si>
    <t>NOMBRE EJECUTIVO</t>
  </si>
  <si>
    <t>CUENTA</t>
  </si>
  <si>
    <t>VENTA ESTIMADA</t>
  </si>
  <si>
    <t>NECESIDAD 1</t>
  </si>
  <si>
    <t>NECESIDAD 2</t>
  </si>
  <si>
    <t>NECESIDAD 3</t>
  </si>
  <si>
    <t>AVANCE PLAN 1</t>
  </si>
  <si>
    <t>AVANCE PLAN 2</t>
  </si>
  <si>
    <t>AVANCE PLAN 3</t>
  </si>
  <si>
    <t>CLAVE</t>
  </si>
  <si>
    <t>MES</t>
  </si>
  <si>
    <t>FECHA SOLICITUD</t>
  </si>
  <si>
    <t>FECHA DE ENTREGA</t>
  </si>
  <si>
    <t>LINK DE PRESENTACION</t>
  </si>
  <si>
    <t>VALOR DE LA PROPUESTA</t>
  </si>
  <si>
    <t>Columna1</t>
  </si>
  <si>
    <t>Columna2</t>
  </si>
  <si>
    <t>Columna3</t>
  </si>
  <si>
    <t>NOMBRE DIRECTOR</t>
  </si>
  <si>
    <t>TIPO EQUIPO</t>
  </si>
  <si>
    <t>EQUIPO4</t>
  </si>
  <si>
    <t>ESTADO5</t>
  </si>
  <si>
    <t>IMAGEN6</t>
  </si>
  <si>
    <t>PRIORIDAD7</t>
  </si>
  <si>
    <t>CLAVE8</t>
  </si>
  <si>
    <t>ASESOR INNOVACION DIGITAL</t>
  </si>
  <si>
    <t>ALIANZAS</t>
  </si>
  <si>
    <t>DISQUERAS - TIQUETERAS</t>
  </si>
  <si>
    <t>PROPUESTA DIGITAL PARA DISQUERAS, EVENTOS Y TIQUETERAS - FRANQUICIAS</t>
  </si>
  <si>
    <t>GENERAR PROPUESTA COMERCIAL</t>
  </si>
  <si>
    <t>ENTREGAR PROPUESTA</t>
  </si>
  <si>
    <t>SIN CAMBIOS</t>
  </si>
  <si>
    <t>En seguimiento</t>
  </si>
  <si>
    <t>Media</t>
  </si>
  <si>
    <t>JUNIO</t>
  </si>
  <si>
    <t>PRODUCTO DIGITAL-FRANQUICIAS-MÚSICA EN MOVIMIENTO.pptx</t>
  </si>
  <si>
    <t>Equipo Innovación Digital</t>
  </si>
  <si>
    <t xml:space="preserve">FRANQUICIAS </t>
  </si>
  <si>
    <t xml:space="preserve">PROPUESTA DE FRANQUICIAS PARA EVENTOS </t>
  </si>
  <si>
    <t>PRODUCTO DIGITAL-DEL PLAY AL SHOW.pptx</t>
  </si>
  <si>
    <t>PRODUCTOS GENERALES</t>
  </si>
  <si>
    <t>PROPUESTA DE FRANQUICIAS POR RUBROS</t>
  </si>
  <si>
    <t xml:space="preserve">SIN CAMBIOS </t>
  </si>
  <si>
    <t>FRANQUICIAS PRISA.pptx</t>
  </si>
  <si>
    <t xml:space="preserve">PROPUESTA DE FRANQUICIAS POR PAQUETES </t>
  </si>
  <si>
    <t>Producto_Digital_FRANQUICIAS PRISA 2026.pptx</t>
  </si>
  <si>
    <t>ELECCIONES 2026</t>
  </si>
  <si>
    <t>PROPUESTA ELECCIONES 2026</t>
  </si>
  <si>
    <t>PRODUCTO DIGITAL-ELECCIONES 2026.pptx</t>
  </si>
  <si>
    <t>PROPUESTA DIGITAL LA RUTA DEL GOL</t>
  </si>
  <si>
    <t>PRODUCTO DIGITAL-LA RUTA DEL GOL.pptx</t>
  </si>
  <si>
    <t>PROPUESTA DE FRANQUICIAS MUNDIAL 2026</t>
  </si>
  <si>
    <t>Producto_Digital_FRANQUICIA MUNDIALISTA.pptx</t>
  </si>
  <si>
    <t>PROPUESTA DIGITAL BEAUTY</t>
  </si>
  <si>
    <t>Producto_Digital_Universo Beauty.pptx</t>
  </si>
  <si>
    <t>PROPUESTA DIGITAL CONSTRUCTORAS</t>
  </si>
  <si>
    <t>Producto_Digital_LIVING EXPERIENCE.pptx</t>
  </si>
  <si>
    <t>PROPUESTA DIGITAL SHOPPABLE</t>
  </si>
  <si>
    <t>PROPUESTA  DIGITAL TECNOLOGIA DNS</t>
  </si>
  <si>
    <t>Producto_Digital_RADIO INTERACTIVO.pptx</t>
  </si>
  <si>
    <t>DESARROLO DE AGENTE DE IA</t>
  </si>
  <si>
    <t>CONEXIÓN PRISA</t>
  </si>
  <si>
    <t>CONEXIÓN PRISA
UNA DINÁMICA COMERCIAL QUE PRESENTA PRODUCTOS DIGITALES EXCLUSIVOS PARA CADA RUBRO, IMPULSANDO OPORTUNIDADES DE NEGOCIO EN TIEMPO REAL.</t>
  </si>
  <si>
    <t>Entregar la propuesta digital al area comercial</t>
  </si>
  <si>
    <t>Seguimiento – Evento 22 de julio</t>
  </si>
  <si>
    <t>Alta</t>
  </si>
  <si>
    <t>JULIO</t>
  </si>
  <si>
    <t>Producto_Digital-CONEXIÓN PRISA.pptx</t>
  </si>
  <si>
    <t>Andrea Morales</t>
  </si>
  <si>
    <t>MANTEQUILLA LA BUENA</t>
  </si>
  <si>
    <t>PROPUESTA CAPSULAS FRANQUICIAS - PROBANDO PROBANDO Y CHICAS EN SU SALSA</t>
  </si>
  <si>
    <t>PRODUCTO DIGITAL - LA BUENA.pptx</t>
  </si>
  <si>
    <t>Sthefanie Botello</t>
  </si>
  <si>
    <t>Diana Contreras Rodriguez</t>
  </si>
  <si>
    <t>YALE</t>
  </si>
  <si>
    <t>DESARROLO DE PROPUESTA DIGITAL</t>
  </si>
  <si>
    <t>Por Mejorar</t>
  </si>
  <si>
    <t>Rosa Diaz</t>
  </si>
  <si>
    <t>CAFAM</t>
  </si>
  <si>
    <t>KOALA</t>
  </si>
  <si>
    <t>NISSAN</t>
  </si>
  <si>
    <t>https://grupoprisa-my.sharepoint.com/:p:/g/personal/juangodoy_est_caracol_com_co/IQCYkmJrdbInS4u8M93JA0qcAZGDL-39y8dP9-zxG8YRQ3k</t>
  </si>
  <si>
    <t>Juan Pablo Godoy</t>
  </si>
  <si>
    <t>CHANGAN</t>
  </si>
  <si>
    <t>https://grupoprisa-my.sharepoint.com/:p:/g/personal/juangodoy_est_caracol_com_co/IQCHxe3NSSkMSpsZDwFQ5LU5Ac7jtZiYMDl8eyyLQMcBTDw</t>
  </si>
  <si>
    <t>PORCHE</t>
  </si>
  <si>
    <t>Felipe Guillen</t>
  </si>
  <si>
    <t>SAMSUNG</t>
  </si>
  <si>
    <t>VIDEO REMOTO CON LOS 40 MÁS REALIDAD AUMENTADA</t>
  </si>
  <si>
    <t>Entregar la propuesta digital y su valorización al ejecutivo correspondiente.</t>
  </si>
  <si>
    <t>SEPTIEMBRE</t>
  </si>
  <si>
    <t>SAMSUNG + LOS 40.pptx</t>
  </si>
  <si>
    <t>Jonathan Velasquez</t>
  </si>
  <si>
    <t>PLEXI</t>
  </si>
  <si>
    <t>PRIMAX</t>
  </si>
  <si>
    <t>Carolina Diaz</t>
  </si>
  <si>
    <t>COLSANITAS</t>
  </si>
  <si>
    <t>SE DESARROLLO UNA PROPUESTA PARA MUNDO COLSANITAS (PODCAST, CHAT IA)</t>
  </si>
  <si>
    <t>REALIZAR SEGUIMIENTO A LA PROPUESTA PARA CONOCER SU ESTADO, CONFIRMAR SI SE CONCRETÓ EL CIERRE E IDENTIFICAR OPORTUNIDADES DE MEJORA.</t>
  </si>
  <si>
    <t>AGOSTO</t>
  </si>
  <si>
    <t>FUN - PROPUESTA DIGITAL - NESTOGENO 1.xlsx</t>
  </si>
  <si>
    <t>PROSEGURO</t>
  </si>
  <si>
    <t>KELLOGS</t>
  </si>
  <si>
    <t>AJINOMOTO</t>
  </si>
  <si>
    <t>KNORR</t>
  </si>
  <si>
    <t>SUPERMERCADO MAKRO</t>
  </si>
  <si>
    <t>CASA LUKER</t>
  </si>
  <si>
    <t>Realizar seguimiento a la propuesta para conocer su estado, confirmar si se concretó el cierre e identificar oportunidades de mejora.</t>
  </si>
  <si>
    <t>CASA LUKER + TROPICANA.pptx</t>
  </si>
  <si>
    <t xml:space="preserve">Andrea Morales </t>
  </si>
  <si>
    <t>ALQUERIA</t>
  </si>
  <si>
    <t>FRANQUICIA - LA MIL OFICIOS Y SE LO EXPLICO CON EXPERTOS</t>
  </si>
  <si>
    <t>ALQUERIA + TROPICANA.pptx</t>
  </si>
  <si>
    <t>VOLVO</t>
  </si>
  <si>
    <t>CAJA SOCIAL</t>
  </si>
  <si>
    <t>Natalia Zambrano</t>
  </si>
  <si>
    <t>RAMO</t>
  </si>
  <si>
    <t>SPOTIFY</t>
  </si>
  <si>
    <t>DON JULIO</t>
  </si>
  <si>
    <t>Ruta del gol</t>
  </si>
  <si>
    <t>se paso la propuesta ruta del gol</t>
  </si>
  <si>
    <t>acaptaron la propuesta</t>
  </si>
  <si>
    <t>La propuesta fue aprobada por el cliente. Actualmente nos encontramos a la espera de su ejecución.</t>
  </si>
  <si>
    <t>Cerrada</t>
  </si>
  <si>
    <t>ARTURO CALLE</t>
  </si>
  <si>
    <t>DESARROLO DE PROPUESTA DIGITAL - FRANQUICIA PLAZA ALVIRA</t>
  </si>
  <si>
    <t xml:space="preserve">no aprobado por el cliente </t>
  </si>
  <si>
    <t xml:space="preserve">en seguimiento </t>
  </si>
  <si>
    <t>EL TOUR DEL ESTILO.pptx</t>
  </si>
  <si>
    <t>ADIDAS</t>
  </si>
  <si>
    <t>PROPUESTA ADIDAS.pptx</t>
  </si>
  <si>
    <t>HONOR</t>
  </si>
  <si>
    <t>no aprobada por el cliente</t>
  </si>
  <si>
    <t>no aprobada</t>
  </si>
  <si>
    <t>PROPUESTA COMERCIAL HONOR.pptx</t>
  </si>
  <si>
    <t>NIKE</t>
  </si>
  <si>
    <t>PROPUESTA NIKE.pptx</t>
  </si>
  <si>
    <t>AMAZON</t>
  </si>
  <si>
    <t>DESARROLO DE PROPUESTA DIGITAL - FRANQUICIA TECNOLOGIA</t>
  </si>
  <si>
    <t>PROPUESTA AMAZON ECOMMERCE.pptx</t>
  </si>
  <si>
    <t>Camilo Prada</t>
  </si>
  <si>
    <t>COLFONDOS S.A. PENSIONES Y CESANTIAS</t>
  </si>
  <si>
    <t xml:space="preserve">$ 92.198.334,00 </t>
  </si>
  <si>
    <t xml:space="preserve">Tiene un decrecimiento en su participación del mercado de 91%.  Y dejarón de invertir en la radio. FRANQUICIA EN SE LO EXPLICO CON EXPERTOS </t>
  </si>
  <si>
    <t>GENERAR PROPUESTA COMERCIAL - FRANQUICIA SE LO EXPLICO CON EXPERTOS</t>
  </si>
  <si>
    <t>PRODUCTO DIGITAL - COLFONDOS.pptx</t>
  </si>
  <si>
    <t>ENERO</t>
  </si>
  <si>
    <t>DIRECTOR 1</t>
  </si>
  <si>
    <t>Baja</t>
  </si>
  <si>
    <t>BIOCOMBUSTIBLES S.A.</t>
  </si>
  <si>
    <t>Tiene un cremiento en su participación del mercado de 77%. Radio tiene un crecimiento del 25%. Pero Prisa Media pierde la participación frente a RCN y Radio Polis.</t>
  </si>
  <si>
    <t xml:space="preserve">GENERAR PROPUESTA COMERCIAL </t>
  </si>
  <si>
    <t>Con base en la retroalimentación del cliente, se ajusta la propuesta para la campaña específica y se entrega la versión final para su validación.</t>
  </si>
  <si>
    <t>Producto_Digital-EL MUNDIAL SE JUEGA CON BIOMAX.pptx</t>
  </si>
  <si>
    <t>FEBRERO</t>
  </si>
  <si>
    <t>DIRECTOR 2</t>
  </si>
  <si>
    <t>BEIJING XIAOMI MOBILE SOFTWARE CO LTD</t>
  </si>
  <si>
    <t>Tiene un decrecimiento en su participación dell mercado de 82%.  Y dejarón de invertir en la radio</t>
  </si>
  <si>
    <t>MARZO</t>
  </si>
  <si>
    <t>DIRECTOR 3</t>
  </si>
  <si>
    <t>FEDERACION NACIONAL DE CULTIVADORES DE PALMA DE ACEITE</t>
  </si>
  <si>
    <t>Tiene un crecimiento en su participación del mercado de 132%. Pero no tiene participación en la Radio.</t>
  </si>
  <si>
    <t>MAYO</t>
  </si>
  <si>
    <t>DIRECTOR 5</t>
  </si>
  <si>
    <t>LABORATORIOS BUSSIE SA</t>
  </si>
  <si>
    <t>Tienen un decrecimiento en su participación dell mercado de 69%.  Y tiene toda su participación en Diarios.</t>
  </si>
  <si>
    <t>ALIANZA</t>
  </si>
  <si>
    <t>Luisa Escobar</t>
  </si>
  <si>
    <t>DISTRIBUIDORA TOYOTA S.A.S.</t>
  </si>
  <si>
    <t>Tiene un decrecimiento en su participación del mercado de 32%. Tienen el 61% de participación en la Radio, y Prisa Media  perdio participación en el medio radial.</t>
  </si>
  <si>
    <t xml:space="preserve">Realizar seguimiento a la propuesta para conocer su estado, confirmar si se concretó el cierre e identificar oportunidades de mejora. </t>
  </si>
  <si>
    <t>PRODUCTO DIGITAL DISTOYOTA.pptx</t>
  </si>
  <si>
    <t>BRECCIA SALUD S A S</t>
  </si>
  <si>
    <t>Tiene un decrecimiento en la participación del mercado de 25%. Tiene el 37% de participaón en la Radio, Prisa Media tiene el 6% perdiendo participación con RCN. FRANQUICIA EN ARMONIA</t>
  </si>
  <si>
    <t>GENERAR PROPUESTA COMERCIAL - FRANQUICIA EN ARMONIA</t>
  </si>
  <si>
    <t>Producto_Digital_EN EQUILIBRIO.pptx</t>
  </si>
  <si>
    <t>GRUPO EMPRESARIAL OIKOS S.A.S.</t>
  </si>
  <si>
    <t>Tiene un crecimeinto en la participación del mercado de 300%.  Y tiene su participación en los medios Digital y Vias Publicas.</t>
  </si>
  <si>
    <t>Lina Lemus</t>
  </si>
  <si>
    <t>GRUPO EMPRESARIAL EN LINEA S.A.</t>
  </si>
  <si>
    <t>Tiene un decrecimiento en su participación del mercado de 59%. Y la Radio tiene un participación del 10%, Prisa Media tiene el 30% de la participación en l aradio. Perdiendo participación frente a Oro.</t>
  </si>
  <si>
    <t>OCTUBRE</t>
  </si>
  <si>
    <t>OPELLA HEALTHCARE COLOMBIA S.A.S.</t>
  </si>
  <si>
    <t>Tiene un decrecimiento en la participación del mercado de 75%, La radio tiene una participación del 2%, Y Prisa Media tiene el 88% de la participación en la Radio.</t>
  </si>
  <si>
    <t>NOVIEMBRE</t>
  </si>
  <si>
    <t>MERCADO LIBRE</t>
  </si>
  <si>
    <t>STREAMING SHOPPABLE EN BÉSAME</t>
  </si>
  <si>
    <t>CENCOSUD</t>
  </si>
  <si>
    <t xml:space="preserve">SOLICITUD STREAMING SHOPPABLE + PRISA GO </t>
  </si>
  <si>
    <t>JUMBO</t>
  </si>
  <si>
    <t>PROPUESTA DIGITAL DINAMICA CON NFC Y CHAT IA</t>
  </si>
  <si>
    <t>Producto_Digital-LA GRAN FIESTA DEL FESTIVERSARIO.pptx</t>
  </si>
  <si>
    <t>VANTI</t>
  </si>
  <si>
    <t>PROPUESTA DIGITAL DINAMICA  PAUTA INVESTIGATIVA, CAMION TROPICANA Y NFC</t>
  </si>
  <si>
    <t>MAPA DEL ULTIMO 1_ - VANTI - TROPICANA (1).pptx</t>
  </si>
  <si>
    <t>DAVIVIENDA</t>
  </si>
  <si>
    <t>NU BANK</t>
  </si>
  <si>
    <t>FENAVI</t>
  </si>
  <si>
    <t>DESARROLO DE PROPUESTA DIGITAL - FRANQUICIA PROBANDO PROBANDO</t>
  </si>
  <si>
    <t xml:space="preserve">La propuesta fue presentada al cliente </t>
  </si>
  <si>
    <t>El cliente acepta la propuesta y esta queda pendiente de ejecución.</t>
  </si>
  <si>
    <t>Por cerrar</t>
  </si>
  <si>
    <t>Producto_Digital-La proteína que une a Colombia- FENAVI.pptx</t>
  </si>
  <si>
    <t>Helen Fajardo</t>
  </si>
  <si>
    <t>INVERSIONES GLP S.A.S. E.S.P.</t>
  </si>
  <si>
    <t>Tiene un decrecimiento en su participación del mercado de 99%. Tiene toda su participación en Diarios.</t>
  </si>
  <si>
    <t>ABRIL</t>
  </si>
  <si>
    <t>DIRECTOR 4</t>
  </si>
  <si>
    <t>UNIVERSIDAD EUROPEA</t>
  </si>
  <si>
    <t>PROPUESTA DIGITAL TODO Y MAS + FRANQUICIAS TECNOLOGIA Y LA OTRA ENTEVISTA</t>
  </si>
  <si>
    <t>PRODUCTO DIGITAL - FUTURO GLOBAL 1.pptx</t>
  </si>
  <si>
    <t>Hugo Urrea</t>
  </si>
  <si>
    <t>CLARO</t>
  </si>
  <si>
    <t>POLITECNICO</t>
  </si>
  <si>
    <t>Sofia Calvera</t>
  </si>
  <si>
    <t>CORONA</t>
  </si>
  <si>
    <t>Elsa Cortez</t>
  </si>
  <si>
    <t>U AREA ANDINA</t>
  </si>
  <si>
    <t>MOTAI</t>
  </si>
  <si>
    <t>Laura Melo</t>
  </si>
  <si>
    <t>PARAMO</t>
  </si>
  <si>
    <t>Propuesta entregada</t>
  </si>
  <si>
    <t>PROPUESTA PARAMO PRESENTA.pptx</t>
  </si>
  <si>
    <t>Diana Andrea Rodiguez</t>
  </si>
  <si>
    <t>NESTOGENO</t>
  </si>
  <si>
    <t>solicitud de propuesta digital a medida - FRANQUICIA MUJERES QUE TRANSFORMAN</t>
  </si>
  <si>
    <t>generar propuesta - FRANQUICIA MUJERES QUE TRANSFORMAN</t>
  </si>
  <si>
    <t>entregar propuesta</t>
  </si>
  <si>
    <t>EN EJECUCIÓN DURANTE EL MES DE OCTUBRE</t>
  </si>
  <si>
    <t>cerrada</t>
  </si>
  <si>
    <t>Producto Digital - NESTOGENO - CRECIENDO JUNTAS.pptx</t>
  </si>
  <si>
    <t>Diana Andrea Rodriguez</t>
  </si>
  <si>
    <t>FALABELLA</t>
  </si>
  <si>
    <t>FALABELLA SHOPPING EXPERIENCE.pptx</t>
  </si>
  <si>
    <t xml:space="preserve">Laura Calvera </t>
  </si>
  <si>
    <t>AUTONIZA</t>
  </si>
  <si>
    <t>Ecosistema whatsaap</t>
  </si>
  <si>
    <t>Entregar la propuesta digital</t>
  </si>
  <si>
    <t>Se formaliza el cierre de la venta y se da inicio al proceso de ejecución.</t>
  </si>
  <si>
    <t>21-Producto_Digital_ECOSISTEMA-WHATSAPP.pptx</t>
  </si>
  <si>
    <t>PROPUESTA DE FRANQUICIA CÁPSULAS DE VIDEO CON CHECK IN</t>
  </si>
  <si>
    <t>PRODUCTO DIGITAL - CERVEZA CORONA.pptx</t>
  </si>
  <si>
    <t>Nicole Hincapie</t>
  </si>
  <si>
    <t>RAPPI</t>
  </si>
  <si>
    <t>CONSTRUCTORAS PLANIFICADAS</t>
  </si>
  <si>
    <t>BANCO DE OCCIDENTE</t>
  </si>
  <si>
    <t>Gina Tinjacá</t>
  </si>
  <si>
    <t>Fortalecer el posicionamiento de la marca aprovechando el aniversario de Clínica Azul.</t>
  </si>
  <si>
    <t>Aumentar audiencias y suscripciones entre hinchas colombianos en el exterior.</t>
  </si>
  <si>
    <t>Karen Perez</t>
  </si>
  <si>
    <t>UNAD</t>
  </si>
  <si>
    <t>Atraer nuevos estudiantes en periodos de inscripción destacando flexibilidad, cobertura y accesibilidad.</t>
  </si>
  <si>
    <t>Valentina Párraga</t>
  </si>
  <si>
    <t>GAES</t>
  </si>
  <si>
    <t>Desarrollar campañas de sensibilización sobre pérdida auditiva y promover soluciones de bienestar e inclusión.</t>
  </si>
  <si>
    <t>BOSTON MEDICAL GROUP</t>
  </si>
  <si>
    <t>Fortalecer el posicionamiento mediante contenidos educativos y generación de confianza.</t>
  </si>
  <si>
    <t>Mauricio Agudelo</t>
  </si>
  <si>
    <t>LEVAPAN</t>
  </si>
  <si>
    <t>Incrementar reconocimiento de marca y preferencia entre profesionales y emprendedores del sector alimentario.</t>
  </si>
  <si>
    <t>FUNDACIÓN CARDIO INFANTIL</t>
  </si>
  <si>
    <t>Fortalecer el posicionamiento institucional y visibilizar su impacto social.</t>
  </si>
  <si>
    <t>Generar clientes potenciales para proyectos de vivienda VIS y No VIS.</t>
  </si>
  <si>
    <t>MASTERCARD</t>
  </si>
  <si>
    <t>Impulsar la adopción de medios de pago digitales, educación financiera e inclusión digital.</t>
  </si>
  <si>
    <t>Luis López</t>
  </si>
  <si>
    <t>SR SIMI</t>
  </si>
  <si>
    <t>PROPUESTA FRANQUICIA - EL ALBÚM</t>
  </si>
  <si>
    <t>https://canva.link/7gihh7hu1w85rtl</t>
  </si>
  <si>
    <t xml:space="preserve">JORNDA CONEXION PRISA LAB </t>
  </si>
  <si>
    <t xml:space="preserve">SE REALIZA JORNADA EL DIA </t>
  </si>
  <si>
    <t xml:space="preserve">PROPUESTA  DIGITAL - FRANQUICIA LOS PITS  + AMPLIFICACION EN REDES + PAQ DE IA + REALIDAD AUMENTADA </t>
  </si>
  <si>
    <t>PROPUESTA GENERADA Y ENVIADA AL EJECUTIVO</t>
  </si>
  <si>
    <t>FORD + CARACOL RADIO + RADIOACKTIVA.pptx</t>
  </si>
  <si>
    <t>PROPUESTA  DIGITAL - STREAMING SHOPPABLE CON MARATON DEL GALLO</t>
  </si>
  <si>
    <t>ISHOP + MARATON DEL GALLO.pptx</t>
  </si>
  <si>
    <t>GAC</t>
  </si>
  <si>
    <t>Producto_Digital-CONDUCE EL FUTURO- GAC.pptx</t>
  </si>
  <si>
    <t>VALVOLINE</t>
  </si>
  <si>
    <t xml:space="preserve"> franquicia Muchas Pelotas.</t>
  </si>
  <si>
    <t>Se concreta el cierre de la venta.</t>
  </si>
  <si>
    <t>FLAMINGO</t>
  </si>
  <si>
    <t>PROPUESTA PARA ANIVERSARIO</t>
  </si>
  <si>
    <t>SEGUIMIENTO</t>
  </si>
  <si>
    <t>https://grupoprisa-my.sharepoint.com/:p:/g/personal/juangodoy_est_caracol_com_co/IQCTvV2t-eLWQq2L9mflqXwPAfE1ADF1gSilO6Wk8SmQ5eY?CID=ad890f88-4ed8-9a0d-3c25-51ff00ffeb03&amp;SI=SentItems&amp;SLSync=F</t>
  </si>
  <si>
    <t>UNIVERSIDAD DE CATALUÑA</t>
  </si>
  <si>
    <t xml:space="preserve">DESARROLO DE PROPUESTA DIGITAL - FRANQUICIA PANTALLEROS </t>
  </si>
  <si>
    <t>PROPUESTA UNIVERSIDAD DE CATALUÑA.pptx</t>
  </si>
  <si>
    <t>Luz Karime Hernandez</t>
  </si>
  <si>
    <t>HALEON</t>
  </si>
  <si>
    <t xml:space="preserve">Desarrollar una propuesta altamente diferencial e innovadora que responda a sus altos estándares de aprobación y logre reactivar inversión frente a la participación activa que mantienen en otros medios. FRANQUICIA EN TENDENCIA </t>
  </si>
  <si>
    <t>GENERAR PROPUESTA COMERCIAL - FRANQUICIA EN TENDENCIA</t>
  </si>
  <si>
    <t>Luz Hernandez</t>
  </si>
  <si>
    <t>PROPUESTA HALEON.pptx</t>
  </si>
  <si>
    <t>DICIEMBRE</t>
  </si>
  <si>
    <t>LACTALIS</t>
  </si>
  <si>
    <t xml:space="preserve">Mantener seguimiento estratégico de la cuenta y monitorear oportunidades futuras mientras persisten restricciones regulatorias que limitan la reactivación en el corto plazo. TIENE UN PROBLEMA CON INVIMA </t>
  </si>
  <si>
    <t>Ana Maria Castañeda</t>
  </si>
  <si>
    <t>SECTOR UNIVERSITARIO</t>
  </si>
  <si>
    <t>Construir estrategias de comunicación de largo plazo que permitan presencia continua durante el año y reduzcan la dependencia de campañas estacionales de matrícula.</t>
  </si>
  <si>
    <t>AR CONSTRUCCIONES</t>
  </si>
  <si>
    <t>PROPUESTA  DIGITAL - FRANQUICIA EL RADAR DE VILLAR + PAQ DE IA + FORMATO SHOPPABLE</t>
  </si>
  <si>
    <t>AR CONSTRUCCIONES + PRISA MEDIA.pptx</t>
  </si>
  <si>
    <t>CONSTRUCTORA GALIAS</t>
  </si>
  <si>
    <t>CONSTRUCTORA LAS GALIAS + PRISA MEDIA.pptx</t>
  </si>
  <si>
    <t>Cromantic y Aruma</t>
  </si>
  <si>
    <t>Diseñar iniciativas creativas que complementen sus estrategias digitales actuales y aumenten la participación de inversión en nuestros medios.</t>
  </si>
  <si>
    <t xml:space="preserve">Carol Beltan </t>
  </si>
  <si>
    <t>CUSEZAR</t>
  </si>
  <si>
    <t>Desarrollar la cuenta mediante propuestas diferenciadoras que fortalezcan la relación y generen crecimiento sostenido de inversión.</t>
  </si>
  <si>
    <t>CEMEX</t>
  </si>
  <si>
    <t>Construir relacionamiento comercial y generar oportunidades desde una etapa temprana de exploración para consolidar futuras inversiones.</t>
  </si>
  <si>
    <t>DISTRITO SALVAJE</t>
  </si>
  <si>
    <t>Impulsar el desarrollo de la cuenta mediante acciones de valor que fortalezcan el posicionamiento de marca y generen nuevas oportunidades comerciales. NO TIENEN CONTACTO CON EL GERENTE</t>
  </si>
  <si>
    <t xml:space="preserve">Raul Herrera </t>
  </si>
  <si>
    <t>VIAJES FALABELLA</t>
  </si>
  <si>
    <t>STREAMING SHOPPABLE CON MARATON DEL GALLO</t>
  </si>
  <si>
    <t>https://grupoprisa-my.sharepoint.com/:p:/g/personal/jonathanvel_est_caracol_com_co/IQA9v97T5zv8SI81xWunnMG2ATW_f-TU0y_cVw8cNKCtpjs?e=ObtWH4</t>
  </si>
  <si>
    <t>MOVISTAR</t>
  </si>
  <si>
    <t>Identificar alternativas comerciales que compensen la reducción de inversión derivada del proceso de integración con Tigo y sostener participación en la categoría.</t>
  </si>
  <si>
    <t>TA•DA</t>
  </si>
  <si>
    <t>PROPUESTA DIGITAL - DINAMICA DE SUBASTA</t>
  </si>
  <si>
    <t>PRODUCTO DIGITAL - TA•DA.pptx</t>
  </si>
  <si>
    <t>BAVARIA</t>
  </si>
  <si>
    <t>AMALFITANA</t>
  </si>
  <si>
    <t>PROPUESTA DUGITAL CON DOS PUNTOS MAS FRANQUICIA DE PROBANDO PROBANDO</t>
  </si>
  <si>
    <t>Carol Beltran</t>
  </si>
  <si>
    <t>PRODUCTO DIGITAL - AMALFITANA.pptx</t>
  </si>
  <si>
    <t>COCA-COLA</t>
  </si>
  <si>
    <t>DECATHLON</t>
  </si>
  <si>
    <t>PROPUESTA CERRADA</t>
  </si>
  <si>
    <t>COMPENSAR</t>
  </si>
  <si>
    <t>DESPEGAR</t>
  </si>
  <si>
    <t>DESPEGAR + MARATON DEL GALLO.pptx</t>
  </si>
  <si>
    <t xml:space="preserve">BAN 100 </t>
  </si>
  <si>
    <t xml:space="preserve">DESARROLO DE PROPUESTA DIGITAL  - FRANQUICIA SE LO EXPLICO CON EXPERTOS </t>
  </si>
  <si>
    <t>PROPUESTA BAN100.pptx</t>
  </si>
  <si>
    <t>CERVEZA TRIBUTO</t>
  </si>
  <si>
    <t xml:space="preserve">PROPUESTA  DIGITAL - FRANQUICIA PROBANDO PROBANDO </t>
  </si>
  <si>
    <t>Producto_Digital-TRIBUTO.pptx</t>
  </si>
  <si>
    <t>HP</t>
  </si>
  <si>
    <t>DESARROLO DE PROPUESTA DIGITAL CON FRANQUICIA TECNOLOGIA</t>
  </si>
  <si>
    <t>PROPUESTA HP.pptx</t>
  </si>
  <si>
    <t>FONTANAR</t>
  </si>
  <si>
    <t xml:space="preserve">DESARROLO DE PROPUESTA DIGITAL - FRANQUICIA GABSULAS </t>
  </si>
  <si>
    <t>se realiza un re ajuste, estamos a la espera por aprobacion del cliente</t>
  </si>
  <si>
    <t>Presentación Escape Game - Fontanar.pptx</t>
  </si>
  <si>
    <t>AVIATUR</t>
  </si>
  <si>
    <t xml:space="preserve">DESARROLO DE PROPUESTA DIGITAL - FRANQUICIA ENTE VALIENTES Y TEAM HATER </t>
  </si>
  <si>
    <t>KIMBERLY CLARK</t>
  </si>
  <si>
    <t xml:space="preserve">DESARROLO DE PROPUESTA DIGITAL - FRANQUICIAS CARTAS A MI EX Y LA LUCIERNAGA PARODIAS </t>
  </si>
  <si>
    <t>https://grupoprisa-my.sharepoint.com/:p:/g/personal/juangodoy_est_caracol_com_co/IQAQHCjHLHXeQpGijneN_H5lActlHYQNn5Jhxg8oQL12bn8                          https://grupoprisa-my.sharepoint.com/:p:/g/personal/juangodoy_est_caracol_com_co/IQCZl1yA5ZmPS7yCUZS3T5--AeQJKQE2dQZJJX-atpvHzDg</t>
  </si>
  <si>
    <t>PUNTO RED</t>
  </si>
  <si>
    <t>FRANQUICIA - SE LO EXPLICO CON EXPERTOS</t>
  </si>
  <si>
    <t>PUNTO RED + TROPICANA .pptx</t>
  </si>
  <si>
    <t>TEATRO NACIONAL</t>
  </si>
  <si>
    <t>PROPUESTA A LA MEDIDA X EMISORA</t>
  </si>
  <si>
    <t xml:space="preserve">Se realizo un ajuste a la propuesta envia, deacurdo a lo conversado con el cliente </t>
  </si>
  <si>
    <t>TEATRO NACIONAL + RADIOACKTIVA + BÉSAME + CARACOL RADIO.pptx</t>
  </si>
  <si>
    <t>DALE!</t>
  </si>
  <si>
    <t>Video remoto + Chat IA</t>
  </si>
  <si>
    <t>Elsa Graciliana</t>
  </si>
  <si>
    <t>ZURICH</t>
  </si>
  <si>
    <t>FRANQUICIA - EL RADAR DE VILLAR</t>
  </si>
  <si>
    <t>GRAN ESTACIÓN</t>
  </si>
  <si>
    <t>SUBASTA SMARTPROMO</t>
  </si>
  <si>
    <t>GRAN ESTACIÓN - PRISA MEDIA.pptx</t>
  </si>
  <si>
    <t>ALKOMPRAR</t>
  </si>
  <si>
    <t>ALKOMPRAR - PRISA MEDIA.pptx</t>
  </si>
  <si>
    <t>KALLEY</t>
  </si>
  <si>
    <t>KALLEY + BESAME.pptx</t>
  </si>
  <si>
    <t>RUSHBET</t>
  </si>
  <si>
    <t>RUSHBET + AS.pptx</t>
  </si>
  <si>
    <t>Luis Lopéz</t>
  </si>
  <si>
    <t>DR SIMI</t>
  </si>
  <si>
    <t>VIDEO SECCION LA  LUCIERNGA</t>
  </si>
  <si>
    <t>FORMATO AUTOMOTRIZ SALÓN INTERNACIONAL DEL AUTOMOVIL</t>
  </si>
  <si>
    <t>https://grupoprisa-my.sharepoint.com/:p:/g/personal/juangodoy_est_caracol_com_co/IQDSWKXeDPMdS5tkug0MQFWjAUGCWwnBGQmQfJXQvj2cBNQ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</si>
  <si>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</si>
  <si>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</si>
  <si>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</si>
  <si>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</si>
  <si>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</si>
  <si>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</si>
  <si>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</si>
  <si>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</si>
  <si>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</si>
  <si>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</si>
  <si>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</si>
  <si>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</si>
  <si>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</si>
  <si>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Rosa Díaz</t>
  </si>
  <si>
    <t>https://grupoprisa-my.sharepoint.com/:p:/g/personal/juangodoy_est_caracol_com_co/IQDDsXgYeG9_TImaUn_AKuBsASJ-LTyG6qh8P6h5USPzv2Q</t>
  </si>
  <si>
    <t>Karen Pérez</t>
  </si>
  <si>
    <t>TITÁN PLAZA</t>
  </si>
  <si>
    <t>FORMATO SAN VALENTÍN</t>
  </si>
  <si>
    <t>https://grupoprisa-my.sharepoint.com/:p:/g/personal/juangodoy_est_caracol_com_co/IQCvZTmvR_RlQLedDnW4fsloATxFmTeNWcAtMsTUU7NKz2A</t>
  </si>
  <si>
    <t>GWM</t>
  </si>
  <si>
    <t>FORMATO AUTOMOTRIZ SALÓN INTERNACIONAL DEL AUTOMOVIL LOW COST</t>
  </si>
  <si>
    <t>https://grupoprisa-my.sharepoint.com/:p:/g/personal/juangodoy_est_caracol_com_co/IQDt8tsKVVVCQ5-CP2-kt6QNAWhUeISgFem7AngGkynLkuw</t>
  </si>
  <si>
    <t>Diana Rodriguez</t>
  </si>
  <si>
    <t>PIBANK</t>
  </si>
  <si>
    <t>FRANQUICIA - EL RADAR DE VILLAR + IA GENERATIVA</t>
  </si>
  <si>
    <t>https://grupoprisa-my.sharepoint.com/:p:/g/personal/juangodoy_est_caracol_com_co/IQBV2lVvM2NXTbMe6arvJR9EAYtY8-0ngEj-YSToUieJ5h0</t>
  </si>
  <si>
    <t>Laura Sofía Calvera</t>
  </si>
  <si>
    <t>AVIANCA</t>
  </si>
  <si>
    <t xml:space="preserve">FORMATO RADIAL + SHOPPABLE </t>
  </si>
  <si>
    <t>https://grupoprisa-my.sharepoint.com/:p:/g/personal/juangodoy_est_caracol_com_co/IQAuRQ4M4MybSKdmulQHytkvAdgW78pcdvX9Moj25CNSZUU</t>
  </si>
  <si>
    <t>Nicole Hincapié</t>
  </si>
  <si>
    <t>GRUPO AVAL</t>
  </si>
  <si>
    <t>VIDEO SECCIONES + PREROLL DE VIDEO + DISPLAY + CANAL DE WHATSAPP + NOTA EDITORIAL</t>
  </si>
  <si>
    <t>https://grupoprisa-my.sharepoint.com/:p:/g/personal/juangodoy_est_caracol_com_co/IQDHPYK6HToBTZeIr6YijdI_ATFYXOF15iKAkYASW9lpG14</t>
  </si>
  <si>
    <t>SCORES 24</t>
  </si>
  <si>
    <t>TODO Y MÁS</t>
  </si>
  <si>
    <t>PROPUESTA SCORES 24.pptx</t>
  </si>
  <si>
    <t>AMOR Y AMISTAD</t>
  </si>
  <si>
    <t>VIDEO REMOTO + NFC</t>
  </si>
  <si>
    <t>NFC</t>
  </si>
  <si>
    <t>BETPLAY</t>
  </si>
  <si>
    <t>FRANQUICIA - MUCHAS PELOTAS + IA GENERATIVA + SHOPPABLE</t>
  </si>
  <si>
    <t>BELONG</t>
  </si>
  <si>
    <t>FRANQUICIA - EL RADAR DE VILLAR + IA GENERATIVA + SHOPPABLE</t>
  </si>
  <si>
    <t>BELONG + CARACOL RADIO.pptx</t>
  </si>
  <si>
    <t>CLIC AIR</t>
  </si>
  <si>
    <t>FRANQUICIA - EN TERRITORIO + IA GENERATIVA + SHOPPABLE</t>
  </si>
  <si>
    <t>CLICK + CARACOL RADIO.pptx</t>
  </si>
  <si>
    <t>AUTECO</t>
  </si>
  <si>
    <t>PROPUESTA AUTECO EN MOVIMIENTO</t>
  </si>
  <si>
    <t>Susan Castaño</t>
  </si>
  <si>
    <t>ARQ DOLLARAPP</t>
  </si>
  <si>
    <t>SE REALIZA SOLICITUD DE STREAMING SHOPPABLE PARA DINAMICA CON SENCOSUD</t>
  </si>
  <si>
    <t>COCA COLA</t>
  </si>
  <si>
    <t>TELEPORT ROYAL</t>
  </si>
  <si>
    <t>FORMATO SHOPPABLE + HISTORIAS META + BOTON FIJO</t>
  </si>
  <si>
    <t>TELEPORT ROYAL - CARACOL.pptx</t>
  </si>
  <si>
    <t xml:space="preserve">EAN </t>
  </si>
  <si>
    <t xml:space="preserve">PROPUESTA EAN MACHT VIDEO SHOPPABLE Y CHAT IA </t>
  </si>
  <si>
    <t>EASY</t>
  </si>
  <si>
    <t>PROPUESTA MARATON DEL GALLO + VIDEO SHOPPABLE, PRE ROLL Y DISPLAY</t>
  </si>
  <si>
    <t>CAJAR</t>
  </si>
  <si>
    <t xml:space="preserve"> CONEXION PRISA - JORNADA DE COCREACIÓN - 02 SEP 2026</t>
  </si>
  <si>
    <t>Jornada de Cocreación</t>
  </si>
  <si>
    <t>CAJAR + LOS 40 + TROPICANA + CARACOL.pptx</t>
  </si>
  <si>
    <t>PROPUESTA DIGITAL CON LOS 40</t>
  </si>
  <si>
    <t>ASTARA</t>
  </si>
  <si>
    <t>FORMATO AUTOMOTRIZ CON VIDEO CONTENIDO - FRANQUICIA - NFC</t>
  </si>
  <si>
    <t>https://grupoprisa-my.sharepoint.com/:p:/g/personal/juangodoy_est_caracol_com_co/IQB0CKVy2Hf-Rog31SUnwrBhAdgYEabMNfTNwbyj6HFpHvY</t>
  </si>
  <si>
    <t>UNIVERSIDAD DE LA SALLE</t>
  </si>
  <si>
    <t>PROPUESTA MARATÓN DEL GALLO</t>
  </si>
  <si>
    <t>https://grupoprisa-my.sharepoint.com/:p:/g/personal/juangodoy_est_caracol_com_co/IQBTmUpdxx02Q5wEfD6ZyuEoAfPAKsNWYLaFXST2CakjrQw</t>
  </si>
  <si>
    <t>SHOPPABLE EN STREAMING, VIDEO SECCIÓN CON PRODUCT PLACEMENT Y CHAT CON IA + NOTA EDITORIAL</t>
  </si>
  <si>
    <t>https://grupoprisa-my.sharepoint.com/:p:/g/personal/juangodoy_est_caracol_com_co/IQCGhLx5YlduTqJn4i-mrahIAXd_c32-9RURQLfTRVVziwA</t>
  </si>
  <si>
    <t>CERÁMICAS CORONA</t>
  </si>
  <si>
    <t>FRANQUICIA, CHAT CON IA + NOTA, RA Y VIDEO SECCIÓN CON PP</t>
  </si>
  <si>
    <t>https://grupoprisa-my.sharepoint.com/:p:/g/personal/juangodoy_est_caracol_com_co/IQAqldrPuxt6T7iyefkTMCkXAS3ttotlJht6BvoleB0Bgts</t>
  </si>
  <si>
    <t>DIDI</t>
  </si>
  <si>
    <t xml:space="preserve">SHOPPABLE EN STREAMING, POST EN REDES Y CHAT CON IA + NOTA </t>
  </si>
  <si>
    <t>https://grupoprisa-my.sharepoint.com/:p:/g/personal/juangodoy_est_caracol_com_co/IQBgenx7wVaETZKx1O05c59xAfDTwqRTyKtZA3cCenk4x2o</t>
  </si>
  <si>
    <t>GM - CHEVROLET</t>
  </si>
  <si>
    <t>https://grupoprisa-my.sharepoint.com/:p:/g/personal/juangodoy_est_caracol_com_co/IQA-xkuln8tHT68mSi6bkdVSAd5xs5GFxUxmBy4cGEyeXLg</t>
  </si>
  <si>
    <t>LULO BANK</t>
  </si>
  <si>
    <t>FRANQUICIA, CHAT CON IA, PRE ROLL DE AUDIO Y VIDEO, Y VIDEO SECCIÓN CON PP</t>
  </si>
  <si>
    <t>https://grupoprisa-my.sharepoint.com/:p:/g/personal/juangodoy_est_caracol_com_co/IQBm7-4y6-pxTbZMFVPAMnoRAcD-ZQTDarxFUFTGwNj4DGk</t>
  </si>
  <si>
    <t>ANIMALS</t>
  </si>
  <si>
    <t>VIDEO REMOTOS + NFC</t>
  </si>
  <si>
    <t>https://grupoprisa-my.sharepoint.com/:p:/g/personal/juangodoy_est_caracol_com_co/IQDhfZd5k4OfRq1X2d1CwohFAQyOOWN_fe9BB3x4PBalwv0</t>
  </si>
  <si>
    <t>https://grupoprisa-my.sharepoint.com/:p:/g/personal/juangodoy_est_caracol_com_co/IQBb6K_mtfKBTL6Ihx0U1t35AX4otYjqeiQUDOa0Uc09Axk</t>
  </si>
  <si>
    <t>PEPE GANGA</t>
  </si>
  <si>
    <t>VIDEO SECCIÓN + SHOPPABLE</t>
  </si>
  <si>
    <t>https://grupoprisa-my.sharepoint.com/:p:/g/personal/juangodoy_est_caracol_com_co/IQDmBamp6Ul0Q69nQD7tvhhLAZvqs7i6e3z42YFyzBtv6Rg</t>
  </si>
  <si>
    <t>PROFAMILIA</t>
  </si>
  <si>
    <t>https://grupoprisa-my.sharepoint.com/:p:/g/personal/juangodoy_est_caracol_com_co/IQAfrpXpHQ7FToOExeVBEX_9AQ9Z-3qSYLBWJ_J5THSupr4</t>
  </si>
  <si>
    <t>PLAZA CLARO</t>
  </si>
  <si>
    <t>MERRY PRISAMASS</t>
  </si>
  <si>
    <t>https://grupoprisa-my.sharepoint.com/:p:/g/personal/juangodoy_est_caracol_com_co/IQC5Lq2L-EahQaYTGUiSfYjZAcOZY3ugIVEC0SuMov2GuYY</t>
  </si>
  <si>
    <t>Raul Herrera</t>
  </si>
  <si>
    <t>VIDEO SECCIÓN + VIDEO CON TALENTO + IA GENERATIVA CON NOTA EDITORIAL</t>
  </si>
  <si>
    <t>BANCAMIA</t>
  </si>
  <si>
    <t>VIDEO CORTO CON TAQLENTO + IA GENERATIVA CON NOTA + SHOPPABLE</t>
  </si>
  <si>
    <t>VALORIZACIÓN PROPUESTA BANCA.xlsx</t>
  </si>
  <si>
    <t>Rosa Jeymy Díaz</t>
  </si>
  <si>
    <t>VARDI</t>
  </si>
  <si>
    <t>FRANQUICIA A LOS PITS + IA GENERATICA CON NOTA EDITORIAL + NFC</t>
  </si>
  <si>
    <t>https://grupoprisa-my.sharepoint.com/:p:/g/personal/juangodoy_est_caracol_com_co/IQDSJfomfIJgT7KLftXlzBQDAY2jMnJ12WAsTCMAuFQEmw8</t>
  </si>
  <si>
    <t>XIAOMI</t>
  </si>
  <si>
    <t>PROPUESTA  DIGITAL -  FORMATO SHOPPABLE + TECNOLOGIA NFC</t>
  </si>
  <si>
    <t>XIAOMI + PRISA MEDIA.pptx</t>
  </si>
  <si>
    <t>INTEL</t>
  </si>
  <si>
    <t>PROPUESTA DIGITAL - INTEL.pptx</t>
  </si>
  <si>
    <t>CONSTRUCTORA BOLÍVAR</t>
  </si>
  <si>
    <t>POSTS EN REDES + SHOPPABLE EN STREAMING + VIDEO SECCIÓN</t>
  </si>
  <si>
    <t>PROPUESTA CONSTRUCTORA BOLIVAR.pptx</t>
  </si>
  <si>
    <t>VIDEO CONTENIDO CON 2 TALENTOS + NFC + IA GENERATIVA + POSTS EN REDES</t>
  </si>
  <si>
    <t>PROPUESTA FALABELLA.pptx</t>
  </si>
  <si>
    <t>MALL PLAZA</t>
  </si>
  <si>
    <t>PROPUESTA MALLPLAZA.pptx</t>
  </si>
  <si>
    <t>MOTOROLA</t>
  </si>
  <si>
    <t>PROPUESTA DIGITAL FRANQUICIA PANTALLEROS + PAQ DE IA GENERATIVA</t>
  </si>
  <si>
    <t>https://grupoprisa-my.sharepoint.com/:p:/g/personal/jonathanvel_est_caracol_com_co/IQACgNe6PpdzRrCpB_DJtu8pATy9vNH0vpm2uBi_ELlubzc?e=6oYTwW</t>
  </si>
  <si>
    <t>ELECTROLUX</t>
  </si>
  <si>
    <t>PROPUESTA DIGITAL STREAMING SHOPPABLE + VIDEOS CORTOS + PRISA GO</t>
  </si>
  <si>
    <t>https://grupoprisa-my.sharepoint.com/:p:/g/personal/jonathanvel_est_caracol_com_co/IQAEzmF09SOpS5t40XJce0D9AZl2hVFk9mxwQ5tY_p-DaqY?e=9EZWRH</t>
  </si>
  <si>
    <t>IKEA</t>
  </si>
  <si>
    <t xml:space="preserve">PROPUESTA DIGITAL SANTA IA </t>
  </si>
  <si>
    <t>HOMECENTER</t>
  </si>
  <si>
    <t xml:space="preserve">PARQUE ARAUCO </t>
  </si>
  <si>
    <t>PROPUESTA DIGITAL PARA OCTUBRE, BLACK FRIDAY Y NAVIDAD</t>
  </si>
  <si>
    <t>https://grupoprisa-my.sharepoint.com/:p:/g/personal/jonathanvel_est_caracol_com_co/IQDkALcde5A9SIp5rR9fo9TYAe-oYU88jqtS-UoGu6Ton14?e=dwz584</t>
  </si>
  <si>
    <t>PLUXEE</t>
  </si>
  <si>
    <t>PROPUESTA DIGITAL NAVIDAD</t>
  </si>
  <si>
    <t>PROPUESTA PLUXEE.pptx</t>
  </si>
  <si>
    <t>VIVEMAX</t>
  </si>
  <si>
    <t>PROPUESTA DIGITAL FRANQUICIA BESABI</t>
  </si>
  <si>
    <t>PROPUESTA VIVEMAX.pptx</t>
  </si>
  <si>
    <t>NAVIDAD</t>
  </si>
  <si>
    <t>PROPUESTA TEMPORADA NAVIDEÑA</t>
  </si>
  <si>
    <t>CONSTRUCCIONES PLANIFICADAS</t>
  </si>
  <si>
    <t>STREAMING SHOPPABLE CON LOS 40</t>
  </si>
  <si>
    <t>HALLOWEEN</t>
  </si>
  <si>
    <t>PROPUESTA TEMPORADA OCTUBRE</t>
  </si>
  <si>
    <t>Luis Lopez</t>
  </si>
  <si>
    <t>COPA AIRLINES</t>
  </si>
  <si>
    <t>FRANQUICIA CHECK IN</t>
  </si>
  <si>
    <t>https://grupoprisa-my.sharepoint.com/:p:/g/personal/juangodoy_est_caracol_com_co/IQAqhQYO6LHuTbnc0IrjgNUbAQMJA_5KoH_G7G8VBt8W-Wc?e=eDX9PP</t>
  </si>
  <si>
    <t>OPEN ENGLISH</t>
  </si>
  <si>
    <t xml:space="preserve">VIDEO CONTENIDO + PUSH NOTIFICATION </t>
  </si>
  <si>
    <t>OPEN ENGLISH + CARACOL RADIO.pptx</t>
  </si>
  <si>
    <t>HEEL</t>
  </si>
  <si>
    <t>FRANQUICIA BESABI</t>
  </si>
  <si>
    <t>https://grupoprisa-my.sharepoint.com/:p:/g/personal/jonathanvel_est_caracol_com_co/IQCq8nxfqBeQRLr-01tbEZ53AT-PnIWzAKVYH6ChPX7rgRU?e=DvjQxZ</t>
  </si>
  <si>
    <t>CAMARA COLOMBIANA DEL LIBRO</t>
  </si>
  <si>
    <t>FRANQUICIA LA LUCIERNAGA + VIDEO SECCONES</t>
  </si>
  <si>
    <t>PROPUESTA CAMARA COLOMBIANA DEL LIBRO.pptx</t>
  </si>
  <si>
    <t>franquicia Salud y Belleza.pptx</t>
  </si>
  <si>
    <t xml:space="preserve">SHOPPABLE EN STREAMING, VIDEO SECCIÓN CON PRODUCT PLACEMENT </t>
  </si>
  <si>
    <t>PRESENTACION CHEVROLET.pptx</t>
  </si>
  <si>
    <t xml:space="preserve">VIDEO CONTENIDO + NFC </t>
  </si>
  <si>
    <t>NFC VOLVO.pptx</t>
  </si>
  <si>
    <t>OFERO</t>
  </si>
  <si>
    <t>NFC + REALIDAD AUMENTADA</t>
  </si>
  <si>
    <t>VIDEO NFC + REALIDAD AUMENTADA OFERO.mp4</t>
  </si>
  <si>
    <t>HDI SEGUROS</t>
  </si>
  <si>
    <t xml:space="preserve">FRANQUICIA A LOS PITS </t>
  </si>
  <si>
    <t>PROPUESTA HDI SEGUROS.pptx</t>
  </si>
  <si>
    <t>Etiquetas de fila</t>
  </si>
  <si>
    <t>Suma de VENTA ESTIMADA</t>
  </si>
  <si>
    <t>Suma de VALOR DE LA PROPUESTA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</si>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</sst>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240A]\ * #,##0_-;\-[$$-240A]\ * #,##0_-;_-[$$-240A]\ * &quot;-&quot;??_-;_-@_-"/>
    <numFmt numFmtId="165" formatCode="&quot;$&quot;\ #,##0"/>
    <numFmt numFmtId="166" formatCode="[$$-240A]\ #,##0"/>
  </numFmts>
  <fonts count="21">
    <font>
      <sz val="11"/>
      <color theme="1"/>
      <name val="Aptos Narrow"/>
      <scheme val="minor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11"/>
      <name val="Aptos Narrow"/>
      <family val="2"/>
    </font>
    <font>
      <b/>
      <sz val="8"/>
      <color theme="1"/>
      <name val="Century Gothic"/>
      <family val="2"/>
    </font>
    <font>
      <sz val="9"/>
      <color rgb="FFFF0000"/>
      <name val="Century Gothic"/>
      <family val="2"/>
    </font>
    <font>
      <sz val="9"/>
      <color theme="8"/>
      <name val="Century Gothic"/>
      <family val="2"/>
    </font>
    <font>
      <u/>
      <sz val="11"/>
      <color theme="10"/>
      <name val="Aptos Narrow"/>
      <family val="2"/>
      <scheme val="minor"/>
    </font>
    <font>
      <i/>
      <sz val="9"/>
      <color theme="7"/>
      <name val="Century Gothic"/>
      <family val="2"/>
    </font>
    <font>
      <sz val="9"/>
      <color theme="8" tint="0.39997558519241921"/>
      <name val="Century Gothic"/>
      <family val="2"/>
    </font>
    <font>
      <sz val="9"/>
      <color theme="7"/>
      <name val="Century Gothic"/>
      <family val="2"/>
    </font>
    <font>
      <sz val="9"/>
      <color theme="1"/>
      <name val="Century Gothic"/>
    </font>
    <font>
      <sz val="9"/>
      <color theme="1"/>
      <name val="Poppins"/>
    </font>
    <font>
      <sz val="9"/>
      <color rgb="FF242424"/>
      <name val="Poppins"/>
    </font>
    <font>
      <sz val="9"/>
      <color rgb="FF000000"/>
      <name val="Poppins"/>
    </font>
    <font>
      <sz val="9"/>
      <name val="Poppins"/>
    </font>
    <font>
      <b/>
      <sz val="9"/>
      <color theme="0"/>
      <name val="Poppins"/>
    </font>
    <font>
      <sz val="8"/>
      <color theme="1"/>
      <name val="Poppins"/>
    </font>
    <font>
      <u/>
      <sz val="8"/>
      <color theme="10"/>
      <name val="Poppins"/>
    </font>
    <font>
      <sz val="11"/>
      <color rgb="FF242424"/>
      <name val="Aptos Narrow"/>
      <charset val="1"/>
    </font>
    <font>
      <u/>
      <sz val="8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7">
    <border>
      <left/>
      <right/>
      <top/>
      <bottom/>
      <diagonal/>
    </border>
    <border>
      <left style="medium">
        <color rgb="FF00B050"/>
      </left>
      <right/>
      <top style="medium">
        <color rgb="FF00B050"/>
      </top>
      <bottom style="thin">
        <color rgb="FF00B050"/>
      </bottom>
      <diagonal/>
    </border>
    <border>
      <left/>
      <right/>
      <top style="medium">
        <color rgb="FF00B050"/>
      </top>
      <bottom style="thin">
        <color rgb="FF00B050"/>
      </bottom>
      <diagonal/>
    </border>
    <border>
      <left/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medium">
        <color rgb="FF00B0F0"/>
      </left>
      <right/>
      <top style="medium">
        <color rgb="FF00B0F0"/>
      </top>
      <bottom style="thin">
        <color rgb="FF00B0F0"/>
      </bottom>
      <diagonal/>
    </border>
    <border>
      <left/>
      <right/>
      <top style="medium">
        <color rgb="FF00B0F0"/>
      </top>
      <bottom style="thin">
        <color rgb="FF00B0F0"/>
      </bottom>
      <diagonal/>
    </border>
    <border>
      <left/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7030A0"/>
      </left>
      <right/>
      <top style="medium">
        <color rgb="FF7030A0"/>
      </top>
      <bottom style="thin">
        <color rgb="FF7030A0"/>
      </bottom>
      <diagonal/>
    </border>
    <border>
      <left/>
      <right/>
      <top style="medium">
        <color rgb="FF7030A0"/>
      </top>
      <bottom style="thin">
        <color rgb="FF7030A0"/>
      </bottom>
      <diagonal/>
    </border>
    <border>
      <left/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 style="medium">
        <color rgb="FFE345AE"/>
      </left>
      <right/>
      <top style="medium">
        <color rgb="FFE345AE"/>
      </top>
      <bottom style="thin">
        <color rgb="FFE345AE"/>
      </bottom>
      <diagonal/>
    </border>
    <border>
      <left/>
      <right/>
      <top style="medium">
        <color rgb="FFE345AE"/>
      </top>
      <bottom style="thin">
        <color rgb="FFE345AE"/>
      </bottom>
      <diagonal/>
    </border>
    <border>
      <left/>
      <right style="medium">
        <color rgb="FFE345AE"/>
      </right>
      <top style="medium">
        <color rgb="FFE345AE"/>
      </top>
      <bottom style="thin">
        <color rgb="FFE345AE"/>
      </bottom>
      <diagonal/>
    </border>
    <border>
      <left style="medium">
        <color rgb="FFFB6715"/>
      </left>
      <right/>
      <top style="medium">
        <color rgb="FFFB6715"/>
      </top>
      <bottom style="thin">
        <color rgb="FFFB6715"/>
      </bottom>
      <diagonal/>
    </border>
    <border>
      <left/>
      <right/>
      <top style="medium">
        <color rgb="FFFB6715"/>
      </top>
      <bottom style="thin">
        <color rgb="FFFB6715"/>
      </bottom>
      <diagonal/>
    </border>
    <border>
      <left/>
      <right style="medium">
        <color rgb="FFFB6715"/>
      </right>
      <top style="medium">
        <color rgb="FFFB6715"/>
      </top>
      <bottom style="thin">
        <color rgb="FFFB6715"/>
      </bottom>
      <diagonal/>
    </border>
    <border>
      <left style="medium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E345AE"/>
      </left>
      <right/>
      <top style="thin">
        <color rgb="FFE345AE"/>
      </top>
      <bottom style="thin">
        <color rgb="FFE345AE"/>
      </bottom>
      <diagonal/>
    </border>
    <border>
      <left/>
      <right/>
      <top style="thin">
        <color rgb="FFE345AE"/>
      </top>
      <bottom style="thin">
        <color rgb="FFE345AE"/>
      </bottom>
      <diagonal/>
    </border>
    <border>
      <left/>
      <right style="medium">
        <color rgb="FFE345AE"/>
      </right>
      <top style="thin">
        <color rgb="FFE345AE"/>
      </top>
      <bottom style="thin">
        <color rgb="FFE345AE"/>
      </bottom>
      <diagonal/>
    </border>
    <border>
      <left style="medium">
        <color rgb="FFFB6715"/>
      </left>
      <right/>
      <top style="thin">
        <color rgb="FFFB6715"/>
      </top>
      <bottom style="thin">
        <color rgb="FFFB6715"/>
      </bottom>
      <diagonal/>
    </border>
    <border>
      <left/>
      <right/>
      <top style="thin">
        <color rgb="FFFB6715"/>
      </top>
      <bottom style="thin">
        <color rgb="FFFB6715"/>
      </bottom>
      <diagonal/>
    </border>
    <border>
      <left/>
      <right style="medium">
        <color rgb="FFFB6715"/>
      </right>
      <top style="thin">
        <color rgb="FFFB6715"/>
      </top>
      <bottom style="thin">
        <color rgb="FFFB6715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E345AE"/>
      </left>
      <right style="thin">
        <color rgb="FFE345AE"/>
      </right>
      <top style="thin">
        <color rgb="FFE345AE"/>
      </top>
      <bottom style="thin">
        <color rgb="FFE345AE"/>
      </bottom>
      <diagonal/>
    </border>
    <border>
      <left style="thin">
        <color rgb="FFE345AE"/>
      </left>
      <right style="thin">
        <color rgb="FFE345AE"/>
      </right>
      <top style="thin">
        <color rgb="FFE345AE"/>
      </top>
      <bottom style="thin">
        <color rgb="FFE345AE"/>
      </bottom>
      <diagonal/>
    </border>
    <border>
      <left style="thin">
        <color rgb="FFE345AE"/>
      </left>
      <right style="medium">
        <color rgb="FFE345AE"/>
      </right>
      <top style="thin">
        <color rgb="FFE345AE"/>
      </top>
      <bottom style="thin">
        <color rgb="FFE345AE"/>
      </bottom>
      <diagonal/>
    </border>
    <border>
      <left style="medium">
        <color rgb="FFFB6715"/>
      </left>
      <right style="thin">
        <color rgb="FFFB6715"/>
      </right>
      <top style="thin">
        <color rgb="FFFB6715"/>
      </top>
      <bottom style="thin">
        <color rgb="FFFB6715"/>
      </bottom>
      <diagonal/>
    </border>
    <border>
      <left style="thin">
        <color rgb="FFFB6715"/>
      </left>
      <right style="thin">
        <color rgb="FFFB6715"/>
      </right>
      <top style="thin">
        <color rgb="FFFB6715"/>
      </top>
      <bottom style="thin">
        <color rgb="FFFB6715"/>
      </bottom>
      <diagonal/>
    </border>
    <border>
      <left style="thin">
        <color rgb="FFFB6715"/>
      </left>
      <right style="medium">
        <color rgb="FFFB6715"/>
      </right>
      <top style="thin">
        <color rgb="FFFB6715"/>
      </top>
      <bottom style="thin">
        <color rgb="FFFB6715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medium">
        <color rgb="FF00B0F0"/>
      </right>
      <top style="thin">
        <color rgb="FF00B0F0"/>
      </top>
      <bottom/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/>
      <top style="medium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medium">
        <color rgb="FF7030A0"/>
      </right>
      <top style="thin">
        <color rgb="FF7030A0"/>
      </top>
      <bottom/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/>
      <top style="medium">
        <color rgb="FF7030A0"/>
      </top>
      <bottom style="thin">
        <color rgb="FF7030A0"/>
      </bottom>
      <diagonal/>
    </border>
    <border>
      <left style="medium">
        <color rgb="FFFB6715"/>
      </left>
      <right style="thin">
        <color rgb="FFFB6715"/>
      </right>
      <top style="thin">
        <color rgb="FFFB6715"/>
      </top>
      <bottom/>
      <diagonal/>
    </border>
    <border>
      <left style="thin">
        <color rgb="FFFB6715"/>
      </left>
      <right style="thin">
        <color rgb="FFFB6715"/>
      </right>
      <top style="thin">
        <color rgb="FFFB6715"/>
      </top>
      <bottom/>
      <diagonal/>
    </border>
    <border>
      <left style="thin">
        <color rgb="FFFB6715"/>
      </left>
      <right style="medium">
        <color rgb="FFFB6715"/>
      </right>
      <top style="thin">
        <color rgb="FFFB6715"/>
      </top>
      <bottom/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medium">
        <color rgb="FFFB6715"/>
      </left>
      <right style="thin">
        <color rgb="FFFB6715"/>
      </right>
      <top style="medium">
        <color rgb="FFFB6715"/>
      </top>
      <bottom style="thin">
        <color rgb="FFFB6715"/>
      </bottom>
      <diagonal/>
    </border>
    <border>
      <left style="thin">
        <color rgb="FFFB6715"/>
      </left>
      <right/>
      <top style="medium">
        <color rgb="FFFB6715"/>
      </top>
      <bottom style="thin">
        <color rgb="FFFB6715"/>
      </bottom>
      <diagonal/>
    </border>
    <border>
      <left style="thin">
        <color rgb="FFFB6715"/>
      </left>
      <right/>
      <top style="thin">
        <color rgb="FFFB6715"/>
      </top>
      <bottom style="thin">
        <color rgb="FFFB6715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/>
      <top style="thin">
        <color rgb="FF00B0F0"/>
      </top>
      <bottom style="medium">
        <color rgb="FF00B0F0"/>
      </bottom>
      <diagonal/>
    </border>
    <border>
      <left/>
      <right/>
      <top style="thin">
        <color rgb="FF00B0F0"/>
      </top>
      <bottom style="medium">
        <color rgb="FF00B0F0"/>
      </bottom>
      <diagonal/>
    </border>
    <border>
      <left/>
      <right style="medium">
        <color rgb="FF00B0F0"/>
      </right>
      <top style="thin">
        <color rgb="FF00B0F0"/>
      </top>
      <bottom style="medium">
        <color rgb="FF00B0F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/>
      <top style="thin">
        <color rgb="FF7030A0"/>
      </top>
      <bottom style="medium">
        <color rgb="FF7030A0"/>
      </bottom>
      <diagonal/>
    </border>
    <border>
      <left/>
      <right/>
      <top style="thin">
        <color rgb="FF7030A0"/>
      </top>
      <bottom style="medium">
        <color rgb="FF7030A0"/>
      </bottom>
      <diagonal/>
    </border>
    <border>
      <left/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 style="medium">
        <color rgb="FFFB6715"/>
      </left>
      <right style="thin">
        <color rgb="FFFB6715"/>
      </right>
      <top style="thin">
        <color rgb="FFFB6715"/>
      </top>
      <bottom style="medium">
        <color rgb="FFFB6715"/>
      </bottom>
      <diagonal/>
    </border>
    <border>
      <left style="thin">
        <color rgb="FFFB6715"/>
      </left>
      <right/>
      <top style="thin">
        <color rgb="FFFB6715"/>
      </top>
      <bottom style="medium">
        <color rgb="FFFB6715"/>
      </bottom>
      <diagonal/>
    </border>
    <border>
      <left/>
      <right/>
      <top style="thin">
        <color rgb="FFFB6715"/>
      </top>
      <bottom style="medium">
        <color rgb="FFFB6715"/>
      </bottom>
      <diagonal/>
    </border>
    <border>
      <left/>
      <right style="medium">
        <color rgb="FFFB6715"/>
      </right>
      <top style="thin">
        <color rgb="FFFB6715"/>
      </top>
      <bottom style="medium">
        <color rgb="FFFB6715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medium">
        <color rgb="FF00B050"/>
      </right>
      <top style="thin">
        <color rgb="FF00B050"/>
      </top>
      <bottom/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/>
      <top style="medium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medium">
        <color rgb="FFE345AE"/>
      </left>
      <right style="thin">
        <color rgb="FFE345AE"/>
      </right>
      <top style="thin">
        <color rgb="FFE345AE"/>
      </top>
      <bottom/>
      <diagonal/>
    </border>
    <border>
      <left style="thin">
        <color rgb="FFE345AE"/>
      </left>
      <right style="thin">
        <color rgb="FFE345AE"/>
      </right>
      <top style="thin">
        <color rgb="FFE345AE"/>
      </top>
      <bottom/>
      <diagonal/>
    </border>
    <border>
      <left style="thin">
        <color rgb="FFE345AE"/>
      </left>
      <right style="medium">
        <color rgb="FFE345AE"/>
      </right>
      <top style="thin">
        <color rgb="FFE345AE"/>
      </top>
      <bottom/>
      <diagonal/>
    </border>
    <border>
      <left style="medium">
        <color rgb="FFE345AE"/>
      </left>
      <right style="thin">
        <color rgb="FFE345AE"/>
      </right>
      <top style="medium">
        <color rgb="FFE345AE"/>
      </top>
      <bottom style="thin">
        <color rgb="FFE345AE"/>
      </bottom>
      <diagonal/>
    </border>
    <border>
      <left style="thin">
        <color rgb="FFE345AE"/>
      </left>
      <right/>
      <top style="medium">
        <color rgb="FFE345AE"/>
      </top>
      <bottom style="thin">
        <color rgb="FFE345AE"/>
      </bottom>
      <diagonal/>
    </border>
    <border>
      <left style="thin">
        <color rgb="FFE345AE"/>
      </left>
      <right/>
      <top style="thin">
        <color rgb="FFE345AE"/>
      </top>
      <bottom style="thin">
        <color rgb="FFE345AE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50"/>
      </left>
      <right/>
      <top style="thin">
        <color rgb="FF00B050"/>
      </top>
      <bottom style="medium">
        <color rgb="FF00B050"/>
      </bottom>
      <diagonal/>
    </border>
    <border>
      <left/>
      <right/>
      <top style="thin">
        <color rgb="FF00B050"/>
      </top>
      <bottom style="medium">
        <color rgb="FF00B050"/>
      </bottom>
      <diagonal/>
    </border>
    <border>
      <left/>
      <right style="medium">
        <color rgb="FF00B050"/>
      </right>
      <top style="thin">
        <color rgb="FF00B050"/>
      </top>
      <bottom style="medium">
        <color rgb="FF00B050"/>
      </bottom>
      <diagonal/>
    </border>
    <border>
      <left style="medium">
        <color rgb="FFE345AE"/>
      </left>
      <right style="thin">
        <color rgb="FFE345AE"/>
      </right>
      <top style="thin">
        <color rgb="FFE345AE"/>
      </top>
      <bottom style="medium">
        <color rgb="FFE345AE"/>
      </bottom>
      <diagonal/>
    </border>
    <border>
      <left style="thin">
        <color rgb="FFE345AE"/>
      </left>
      <right/>
      <top style="thin">
        <color rgb="FFE345AE"/>
      </top>
      <bottom style="medium">
        <color rgb="FFE345AE"/>
      </bottom>
      <diagonal/>
    </border>
    <border>
      <left/>
      <right/>
      <top style="thin">
        <color rgb="FFE345AE"/>
      </top>
      <bottom style="medium">
        <color rgb="FFE345AE"/>
      </bottom>
      <diagonal/>
    </border>
    <border>
      <left/>
      <right style="medium">
        <color rgb="FFE345AE"/>
      </right>
      <top style="thin">
        <color rgb="FFE345AE"/>
      </top>
      <bottom style="medium">
        <color rgb="FFE345A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31" xfId="0" applyFont="1" applyBorder="1"/>
    <xf numFmtId="0" fontId="2" fillId="0" borderId="32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4" xfId="0" applyFont="1" applyBorder="1"/>
    <xf numFmtId="0" fontId="2" fillId="0" borderId="35" xfId="0" applyFont="1" applyBorder="1" applyAlignment="1">
      <alignment vertical="center" wrapText="1"/>
    </xf>
    <xf numFmtId="0" fontId="2" fillId="0" borderId="36" xfId="0" applyFont="1" applyBorder="1" applyAlignment="1">
      <alignment vertical="center" wrapText="1"/>
    </xf>
    <xf numFmtId="0" fontId="2" fillId="0" borderId="37" xfId="0" applyFont="1" applyBorder="1"/>
    <xf numFmtId="0" fontId="2" fillId="0" borderId="38" xfId="0" applyFont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/>
    <xf numFmtId="0" fontId="2" fillId="0" borderId="41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2" fillId="0" borderId="43" xfId="0" applyFont="1" applyBorder="1"/>
    <xf numFmtId="0" fontId="2" fillId="0" borderId="44" xfId="0" applyFont="1" applyBorder="1" applyAlignment="1">
      <alignment vertical="center" wrapText="1"/>
    </xf>
    <xf numFmtId="0" fontId="2" fillId="0" borderId="45" xfId="0" applyFont="1" applyBorder="1" applyAlignment="1">
      <alignment vertical="center" wrapText="1"/>
    </xf>
    <xf numFmtId="0" fontId="1" fillId="0" borderId="31" xfId="0" applyFont="1" applyBorder="1"/>
    <xf numFmtId="0" fontId="1" fillId="0" borderId="32" xfId="0" applyFont="1" applyBorder="1" applyAlignment="1">
      <alignment vertical="center" wrapText="1"/>
    </xf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35" xfId="0" applyFont="1" applyBorder="1" applyAlignment="1">
      <alignment vertical="center" wrapText="1"/>
    </xf>
    <xf numFmtId="0" fontId="1" fillId="0" borderId="36" xfId="0" applyFont="1" applyBorder="1"/>
    <xf numFmtId="0" fontId="1" fillId="0" borderId="37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1" fillId="0" borderId="40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0" fontId="1" fillId="0" borderId="45" xfId="0" applyFont="1" applyBorder="1"/>
    <xf numFmtId="0" fontId="1" fillId="0" borderId="33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1" fillId="0" borderId="46" xfId="0" applyFont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0" fontId="1" fillId="0" borderId="48" xfId="0" applyFont="1" applyBorder="1" applyAlignment="1">
      <alignment vertical="center" wrapText="1"/>
    </xf>
    <xf numFmtId="0" fontId="1" fillId="0" borderId="44" xfId="0" applyFont="1" applyBorder="1" applyAlignment="1">
      <alignment horizontal="center" wrapText="1"/>
    </xf>
    <xf numFmtId="0" fontId="4" fillId="0" borderId="49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5" fillId="0" borderId="4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43" xfId="0" applyFont="1" applyBorder="1" applyAlignment="1">
      <alignment vertical="center" wrapText="1"/>
    </xf>
    <xf numFmtId="0" fontId="1" fillId="0" borderId="44" xfId="0" applyFont="1" applyBorder="1" applyAlignment="1">
      <alignment vertical="top" wrapText="1"/>
    </xf>
    <xf numFmtId="0" fontId="4" fillId="0" borderId="34" xfId="0" applyFont="1" applyBorder="1" applyAlignment="1">
      <alignment vertical="center" wrapText="1"/>
    </xf>
    <xf numFmtId="0" fontId="1" fillId="0" borderId="52" xfId="0" applyFont="1" applyBorder="1" applyAlignment="1">
      <alignment vertical="center" wrapText="1"/>
    </xf>
    <xf numFmtId="0" fontId="1" fillId="0" borderId="53" xfId="0" applyFont="1" applyBorder="1" applyAlignment="1">
      <alignment vertical="center" wrapText="1"/>
    </xf>
    <xf numFmtId="0" fontId="1" fillId="0" borderId="54" xfId="0" applyFont="1" applyBorder="1" applyAlignment="1">
      <alignment vertical="center" wrapText="1"/>
    </xf>
    <xf numFmtId="0" fontId="1" fillId="0" borderId="44" xfId="0" applyFont="1" applyBorder="1" applyAlignment="1">
      <alignment wrapText="1"/>
    </xf>
    <xf numFmtId="0" fontId="4" fillId="0" borderId="55" xfId="0" applyFont="1" applyBorder="1" applyAlignment="1">
      <alignment vertical="center" wrapText="1"/>
    </xf>
    <xf numFmtId="0" fontId="1" fillId="0" borderId="57" xfId="0" applyFont="1" applyBorder="1" applyAlignment="1">
      <alignment vertical="center" wrapText="1"/>
    </xf>
    <xf numFmtId="0" fontId="1" fillId="0" borderId="58" xfId="0" applyFont="1" applyBorder="1" applyAlignment="1">
      <alignment vertical="center" wrapText="1"/>
    </xf>
    <xf numFmtId="0" fontId="1" fillId="0" borderId="58" xfId="0" applyFont="1" applyBorder="1"/>
    <xf numFmtId="0" fontId="1" fillId="0" borderId="59" xfId="0" applyFont="1" applyBorder="1"/>
    <xf numFmtId="0" fontId="4" fillId="0" borderId="37" xfId="0" applyFont="1" applyBorder="1" applyAlignment="1">
      <alignment vertical="center" wrapText="1"/>
    </xf>
    <xf numFmtId="0" fontId="4" fillId="0" borderId="61" xfId="0" applyFont="1" applyBorder="1" applyAlignment="1">
      <alignment vertical="center" wrapText="1"/>
    </xf>
    <xf numFmtId="0" fontId="4" fillId="0" borderId="43" xfId="0" applyFont="1" applyBorder="1" applyAlignment="1">
      <alignment vertical="center" wrapText="1"/>
    </xf>
    <xf numFmtId="0" fontId="4" fillId="0" borderId="64" xfId="0" applyFont="1" applyBorder="1" applyAlignment="1">
      <alignment vertical="center" wrapText="1"/>
    </xf>
    <xf numFmtId="0" fontId="1" fillId="0" borderId="40" xfId="0" applyFont="1" applyBorder="1"/>
    <xf numFmtId="0" fontId="1" fillId="0" borderId="41" xfId="0" applyFont="1" applyBorder="1"/>
    <xf numFmtId="0" fontId="1" fillId="0" borderId="42" xfId="0" applyFont="1" applyBorder="1"/>
    <xf numFmtId="0" fontId="4" fillId="0" borderId="68" xfId="0" applyFont="1" applyBorder="1" applyAlignment="1">
      <alignment vertical="center" wrapText="1"/>
    </xf>
    <xf numFmtId="0" fontId="1" fillId="0" borderId="41" xfId="0" applyFont="1" applyBorder="1" applyAlignment="1">
      <alignment wrapText="1"/>
    </xf>
    <xf numFmtId="0" fontId="4" fillId="0" borderId="72" xfId="0" applyFont="1" applyBorder="1" applyAlignment="1">
      <alignment vertical="center" wrapText="1"/>
    </xf>
    <xf numFmtId="0" fontId="1" fillId="0" borderId="76" xfId="0" applyFont="1" applyBorder="1"/>
    <xf numFmtId="0" fontId="2" fillId="0" borderId="77" xfId="0" applyFont="1" applyBorder="1" applyAlignment="1">
      <alignment vertical="center" wrapText="1"/>
    </xf>
    <xf numFmtId="0" fontId="1" fillId="0" borderId="77" xfId="0" applyFont="1" applyBorder="1" applyAlignment="1">
      <alignment vertical="center" wrapText="1"/>
    </xf>
    <xf numFmtId="0" fontId="1" fillId="0" borderId="78" xfId="0" applyFont="1" applyBorder="1" applyAlignment="1">
      <alignment vertical="center" wrapText="1"/>
    </xf>
    <xf numFmtId="0" fontId="4" fillId="0" borderId="79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1" fillId="0" borderId="82" xfId="0" applyFont="1" applyBorder="1"/>
    <xf numFmtId="0" fontId="1" fillId="0" borderId="83" xfId="0" applyFont="1" applyBorder="1"/>
    <xf numFmtId="0" fontId="1" fillId="0" borderId="84" xfId="0" applyFont="1" applyBorder="1"/>
    <xf numFmtId="0" fontId="2" fillId="0" borderId="85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0" borderId="88" xfId="0" applyFont="1" applyBorder="1" applyAlignment="1">
      <alignment vertical="center" wrapText="1"/>
    </xf>
    <xf numFmtId="0" fontId="4" fillId="0" borderId="92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9" fillId="2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0" fillId="0" borderId="0" xfId="0" applyAlignment="1">
      <alignment horizontal="left" indent="2"/>
    </xf>
    <xf numFmtId="0" fontId="11" fillId="2" borderId="0" xfId="0" applyFont="1" applyFill="1" applyAlignment="1">
      <alignment wrapText="1"/>
    </xf>
    <xf numFmtId="0" fontId="12" fillId="0" borderId="96" xfId="0" applyFont="1" applyBorder="1" applyAlignment="1">
      <alignment horizontal="center" vertical="center" wrapText="1"/>
    </xf>
    <xf numFmtId="0" fontId="12" fillId="3" borderId="96" xfId="0" applyFont="1" applyFill="1" applyBorder="1" applyAlignment="1">
      <alignment horizontal="center" vertical="center" wrapText="1"/>
    </xf>
    <xf numFmtId="1" fontId="12" fillId="3" borderId="96" xfId="0" applyNumberFormat="1" applyFont="1" applyFill="1" applyBorder="1" applyAlignment="1">
      <alignment horizontal="center" vertical="center" wrapText="1"/>
    </xf>
    <xf numFmtId="14" fontId="12" fillId="3" borderId="96" xfId="0" applyNumberFormat="1" applyFont="1" applyFill="1" applyBorder="1" applyAlignment="1">
      <alignment horizontal="center" vertical="center" wrapText="1"/>
    </xf>
    <xf numFmtId="0" fontId="13" fillId="3" borderId="96" xfId="0" applyFont="1" applyFill="1" applyBorder="1" applyAlignment="1">
      <alignment horizontal="center" vertical="center" wrapText="1"/>
    </xf>
    <xf numFmtId="0" fontId="12" fillId="2" borderId="96" xfId="0" applyFont="1" applyFill="1" applyBorder="1" applyAlignment="1">
      <alignment horizontal="center" vertical="center" wrapText="1"/>
    </xf>
    <xf numFmtId="0" fontId="13" fillId="2" borderId="96" xfId="0" applyFont="1" applyFill="1" applyBorder="1" applyAlignment="1">
      <alignment horizontal="center" vertical="center" wrapText="1"/>
    </xf>
    <xf numFmtId="0" fontId="14" fillId="2" borderId="96" xfId="0" applyFont="1" applyFill="1" applyBorder="1" applyAlignment="1">
      <alignment horizontal="center" vertical="center" wrapText="1"/>
    </xf>
    <xf numFmtId="1" fontId="12" fillId="2" borderId="96" xfId="0" applyNumberFormat="1" applyFont="1" applyFill="1" applyBorder="1" applyAlignment="1">
      <alignment horizontal="center" vertical="center" wrapText="1"/>
    </xf>
    <xf numFmtId="14" fontId="12" fillId="2" borderId="96" xfId="0" applyNumberFormat="1" applyFont="1" applyFill="1" applyBorder="1" applyAlignment="1">
      <alignment horizontal="center" vertical="center" wrapText="1"/>
    </xf>
    <xf numFmtId="0" fontId="14" fillId="3" borderId="96" xfId="0" applyFont="1" applyFill="1" applyBorder="1" applyAlignment="1">
      <alignment horizontal="center" vertical="center" wrapText="1"/>
    </xf>
    <xf numFmtId="0" fontId="13" fillId="3" borderId="97" xfId="0" applyFont="1" applyFill="1" applyBorder="1" applyAlignment="1">
      <alignment horizontal="center" vertical="center" wrapText="1"/>
    </xf>
    <xf numFmtId="0" fontId="12" fillId="3" borderId="97" xfId="0" applyFont="1" applyFill="1" applyBorder="1" applyAlignment="1">
      <alignment horizontal="center" vertical="center" wrapText="1"/>
    </xf>
    <xf numFmtId="1" fontId="12" fillId="2" borderId="97" xfId="0" applyNumberFormat="1" applyFont="1" applyFill="1" applyBorder="1" applyAlignment="1">
      <alignment horizontal="center" vertical="center" wrapText="1"/>
    </xf>
    <xf numFmtId="1" fontId="12" fillId="3" borderId="97" xfId="0" applyNumberFormat="1" applyFont="1" applyFill="1" applyBorder="1" applyAlignment="1">
      <alignment horizontal="center" vertical="center" wrapText="1"/>
    </xf>
    <xf numFmtId="14" fontId="12" fillId="2" borderId="97" xfId="0" applyNumberFormat="1" applyFont="1" applyFill="1" applyBorder="1" applyAlignment="1">
      <alignment horizontal="center" vertical="center" wrapText="1"/>
    </xf>
    <xf numFmtId="0" fontId="12" fillId="4" borderId="96" xfId="0" applyFont="1" applyFill="1" applyBorder="1" applyAlignment="1">
      <alignment horizontal="center" vertical="center" wrapText="1"/>
    </xf>
    <xf numFmtId="1" fontId="12" fillId="4" borderId="96" xfId="0" applyNumberFormat="1" applyFont="1" applyFill="1" applyBorder="1" applyAlignment="1">
      <alignment horizontal="center" vertical="center" wrapText="1"/>
    </xf>
    <xf numFmtId="14" fontId="12" fillId="4" borderId="96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5" fillId="2" borderId="96" xfId="0" applyFont="1" applyFill="1" applyBorder="1" applyAlignment="1">
      <alignment horizontal="center" vertical="center" wrapText="1"/>
    </xf>
    <xf numFmtId="0" fontId="13" fillId="4" borderId="96" xfId="0" applyFont="1" applyFill="1" applyBorder="1" applyAlignment="1">
      <alignment horizontal="center" vertical="center" wrapText="1"/>
    </xf>
    <xf numFmtId="0" fontId="14" fillId="4" borderId="96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14" fontId="12" fillId="3" borderId="97" xfId="0" applyNumberFormat="1" applyFont="1" applyFill="1" applyBorder="1" applyAlignment="1">
      <alignment horizontal="center" vertical="center" wrapText="1"/>
    </xf>
    <xf numFmtId="0" fontId="12" fillId="3" borderId="100" xfId="0" applyFont="1" applyFill="1" applyBorder="1" applyAlignment="1">
      <alignment horizontal="center" vertical="center" wrapText="1"/>
    </xf>
    <xf numFmtId="0" fontId="13" fillId="3" borderId="101" xfId="0" applyFont="1" applyFill="1" applyBorder="1" applyAlignment="1">
      <alignment horizontal="center" vertical="center" wrapText="1"/>
    </xf>
    <xf numFmtId="0" fontId="12" fillId="3" borderId="99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1" fontId="12" fillId="0" borderId="0" xfId="0" applyNumberFormat="1" applyFont="1" applyAlignment="1">
      <alignment wrapText="1"/>
    </xf>
    <xf numFmtId="166" fontId="12" fillId="0" borderId="0" xfId="0" applyNumberFormat="1" applyFont="1" applyAlignment="1">
      <alignment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vertical="center" wrapText="1"/>
    </xf>
    <xf numFmtId="166" fontId="12" fillId="2" borderId="0" xfId="0" applyNumberFormat="1" applyFont="1" applyFill="1" applyAlignment="1">
      <alignment wrapText="1"/>
    </xf>
    <xf numFmtId="164" fontId="12" fillId="0" borderId="0" xfId="0" applyNumberFormat="1" applyFont="1" applyAlignment="1">
      <alignment wrapText="1"/>
    </xf>
    <xf numFmtId="166" fontId="12" fillId="0" borderId="96" xfId="0" applyNumberFormat="1" applyFont="1" applyBorder="1" applyAlignment="1">
      <alignment horizontal="right" vertical="center" wrapText="1"/>
    </xf>
    <xf numFmtId="166" fontId="12" fillId="0" borderId="96" xfId="0" applyNumberFormat="1" applyFont="1" applyBorder="1" applyAlignment="1">
      <alignment horizontal="center" vertical="center" wrapText="1"/>
    </xf>
    <xf numFmtId="166" fontId="12" fillId="3" borderId="96" xfId="0" applyNumberFormat="1" applyFont="1" applyFill="1" applyBorder="1" applyAlignment="1">
      <alignment horizontal="right" vertical="center" wrapText="1"/>
    </xf>
    <xf numFmtId="166" fontId="12" fillId="2" borderId="96" xfId="0" applyNumberFormat="1" applyFont="1" applyFill="1" applyBorder="1" applyAlignment="1">
      <alignment horizontal="right" vertical="center" wrapText="1"/>
    </xf>
    <xf numFmtId="166" fontId="12" fillId="2" borderId="97" xfId="0" applyNumberFormat="1" applyFont="1" applyFill="1" applyBorder="1" applyAlignment="1">
      <alignment horizontal="right" vertical="center" wrapText="1"/>
    </xf>
    <xf numFmtId="166" fontId="12" fillId="4" borderId="96" xfId="0" applyNumberFormat="1" applyFont="1" applyFill="1" applyBorder="1" applyAlignment="1">
      <alignment horizontal="right" vertical="center" wrapText="1"/>
    </xf>
    <xf numFmtId="166" fontId="12" fillId="3" borderId="97" xfId="0" applyNumberFormat="1" applyFont="1" applyFill="1" applyBorder="1" applyAlignment="1">
      <alignment horizontal="right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wrapText="1"/>
    </xf>
    <xf numFmtId="0" fontId="12" fillId="3" borderId="102" xfId="0" applyFont="1" applyFill="1" applyBorder="1" applyAlignment="1">
      <alignment horizontal="center" vertical="center" wrapText="1"/>
    </xf>
    <xf numFmtId="0" fontId="13" fillId="3" borderId="103" xfId="0" applyFont="1" applyFill="1" applyBorder="1" applyAlignment="1">
      <alignment horizontal="center" vertical="center" wrapText="1"/>
    </xf>
    <xf numFmtId="166" fontId="12" fillId="2" borderId="104" xfId="0" applyNumberFormat="1" applyFont="1" applyFill="1" applyBorder="1" applyAlignment="1">
      <alignment horizontal="right" vertical="center" wrapText="1"/>
    </xf>
    <xf numFmtId="166" fontId="12" fillId="2" borderId="99" xfId="0" applyNumberFormat="1" applyFont="1" applyFill="1" applyBorder="1" applyAlignment="1">
      <alignment horizontal="right" vertical="center" wrapText="1"/>
    </xf>
    <xf numFmtId="166" fontId="12" fillId="0" borderId="0" xfId="0" applyNumberFormat="1" applyFont="1" applyAlignment="1">
      <alignment horizontal="right" wrapText="1"/>
    </xf>
    <xf numFmtId="0" fontId="13" fillId="0" borderId="96" xfId="0" applyFont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166" fontId="14" fillId="2" borderId="98" xfId="0" applyNumberFormat="1" applyFont="1" applyFill="1" applyBorder="1" applyAlignment="1">
      <alignment horizontal="right" vertical="center" wrapText="1"/>
    </xf>
    <xf numFmtId="166" fontId="14" fillId="2" borderId="96" xfId="0" applyNumberFormat="1" applyFont="1" applyFill="1" applyBorder="1" applyAlignment="1">
      <alignment horizontal="right" vertical="center" wrapText="1"/>
    </xf>
    <xf numFmtId="0" fontId="16" fillId="5" borderId="9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7" fillId="0" borderId="96" xfId="0" applyFont="1" applyBorder="1" applyAlignment="1">
      <alignment horizontal="center" vertical="center" wrapText="1"/>
    </xf>
    <xf numFmtId="0" fontId="18" fillId="3" borderId="96" xfId="1" applyFont="1" applyFill="1" applyBorder="1" applyAlignment="1">
      <alignment horizontal="center" vertical="center" wrapText="1"/>
    </xf>
    <xf numFmtId="0" fontId="17" fillId="3" borderId="96" xfId="0" applyFont="1" applyFill="1" applyBorder="1" applyAlignment="1">
      <alignment horizontal="center" vertical="center" wrapText="1"/>
    </xf>
    <xf numFmtId="0" fontId="18" fillId="2" borderId="96" xfId="1" applyFont="1" applyFill="1" applyBorder="1" applyAlignment="1">
      <alignment horizontal="center" vertical="center" wrapText="1"/>
    </xf>
    <xf numFmtId="0" fontId="17" fillId="2" borderId="96" xfId="0" applyFont="1" applyFill="1" applyBorder="1" applyAlignment="1">
      <alignment horizontal="center" vertical="center" wrapText="1"/>
    </xf>
    <xf numFmtId="0" fontId="18" fillId="4" borderId="96" xfId="1" applyFont="1" applyFill="1" applyBorder="1" applyAlignment="1">
      <alignment horizontal="center" vertical="center" wrapText="1"/>
    </xf>
    <xf numFmtId="0" fontId="18" fillId="0" borderId="0" xfId="1" applyFont="1" applyAlignment="1">
      <alignment wrapText="1"/>
    </xf>
    <xf numFmtId="0" fontId="18" fillId="4" borderId="0" xfId="1" applyFont="1" applyFill="1" applyBorder="1" applyAlignment="1">
      <alignment horizontal="center" vertical="center" wrapText="1"/>
    </xf>
    <xf numFmtId="0" fontId="17" fillId="4" borderId="96" xfId="0" applyFont="1" applyFill="1" applyBorder="1" applyAlignment="1">
      <alignment horizontal="center" vertical="center" wrapText="1"/>
    </xf>
    <xf numFmtId="0" fontId="18" fillId="3" borderId="0" xfId="1" applyFont="1" applyFill="1" applyBorder="1" applyAlignment="1">
      <alignment horizontal="center" vertical="center" wrapText="1"/>
    </xf>
    <xf numFmtId="0" fontId="18" fillId="3" borderId="0" xfId="1" applyFont="1" applyFill="1" applyAlignment="1">
      <alignment wrapText="1"/>
    </xf>
    <xf numFmtId="0" fontId="17" fillId="3" borderId="97" xfId="0" applyFont="1" applyFill="1" applyBorder="1" applyAlignment="1">
      <alignment horizontal="center" vertical="center" wrapText="1"/>
    </xf>
    <xf numFmtId="0" fontId="18" fillId="3" borderId="97" xfId="1" applyFont="1" applyFill="1" applyBorder="1" applyAlignment="1">
      <alignment horizontal="center" vertical="center" wrapText="1"/>
    </xf>
    <xf numFmtId="0" fontId="17" fillId="3" borderId="102" xfId="0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166" fontId="12" fillId="3" borderId="96" xfId="0" applyNumberFormat="1" applyFont="1" applyFill="1" applyBorder="1" applyAlignment="1">
      <alignment vertical="center" wrapText="1"/>
    </xf>
    <xf numFmtId="166" fontId="12" fillId="2" borderId="96" xfId="0" applyNumberFormat="1" applyFont="1" applyFill="1" applyBorder="1" applyAlignment="1">
      <alignment vertical="center" wrapText="1"/>
    </xf>
    <xf numFmtId="166" fontId="12" fillId="2" borderId="97" xfId="0" applyNumberFormat="1" applyFont="1" applyFill="1" applyBorder="1" applyAlignment="1">
      <alignment vertical="center" wrapText="1"/>
    </xf>
    <xf numFmtId="166" fontId="12" fillId="4" borderId="96" xfId="0" applyNumberFormat="1" applyFont="1" applyFill="1" applyBorder="1" applyAlignment="1">
      <alignment vertical="center" wrapText="1"/>
    </xf>
    <xf numFmtId="166" fontId="14" fillId="2" borderId="96" xfId="0" applyNumberFormat="1" applyFont="1" applyFill="1" applyBorder="1" applyAlignment="1">
      <alignment vertical="center" wrapText="1"/>
    </xf>
    <xf numFmtId="166" fontId="12" fillId="2" borderId="104" xfId="0" applyNumberFormat="1" applyFont="1" applyFill="1" applyBorder="1" applyAlignment="1">
      <alignment vertical="center" wrapText="1"/>
    </xf>
    <xf numFmtId="166" fontId="12" fillId="2" borderId="99" xfId="0" applyNumberFormat="1" applyFont="1" applyFill="1" applyBorder="1" applyAlignment="1">
      <alignment vertical="center" wrapText="1"/>
    </xf>
    <xf numFmtId="166" fontId="14" fillId="0" borderId="98" xfId="0" applyNumberFormat="1" applyFont="1" applyBorder="1" applyAlignment="1">
      <alignment vertical="center" wrapText="1"/>
    </xf>
    <xf numFmtId="14" fontId="12" fillId="0" borderId="96" xfId="0" applyNumberFormat="1" applyFont="1" applyBorder="1" applyAlignment="1">
      <alignment horizontal="center" vertical="center" wrapText="1"/>
    </xf>
    <xf numFmtId="0" fontId="7" fillId="3" borderId="96" xfId="1" applyFill="1" applyBorder="1" applyAlignment="1">
      <alignment horizontal="center" vertical="center" wrapText="1"/>
    </xf>
    <xf numFmtId="0" fontId="12" fillId="3" borderId="105" xfId="0" applyFont="1" applyFill="1" applyBorder="1" applyAlignment="1">
      <alignment horizontal="center" vertical="center" wrapText="1"/>
    </xf>
    <xf numFmtId="166" fontId="14" fillId="2" borderId="97" xfId="0" applyNumberFormat="1" applyFont="1" applyFill="1" applyBorder="1" applyAlignment="1">
      <alignment horizontal="right" vertical="center" wrapText="1"/>
    </xf>
    <xf numFmtId="166" fontId="14" fillId="2" borderId="97" xfId="0" applyNumberFormat="1" applyFont="1" applyFill="1" applyBorder="1" applyAlignment="1">
      <alignment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3" borderId="96" xfId="0" applyFont="1" applyFill="1" applyBorder="1" applyAlignment="1">
      <alignment wrapText="1"/>
    </xf>
    <xf numFmtId="14" fontId="12" fillId="0" borderId="97" xfId="0" applyNumberFormat="1" applyFont="1" applyBorder="1" applyAlignment="1">
      <alignment horizontal="center" vertical="center" wrapText="1"/>
    </xf>
    <xf numFmtId="0" fontId="7" fillId="3" borderId="97" xfId="1" applyFill="1" applyBorder="1" applyAlignment="1">
      <alignment horizontal="center" vertical="center" wrapText="1"/>
    </xf>
    <xf numFmtId="0" fontId="17" fillId="3" borderId="96" xfId="0" applyFont="1" applyFill="1" applyBorder="1" applyAlignment="1">
      <alignment wrapText="1"/>
    </xf>
    <xf numFmtId="0" fontId="12" fillId="3" borderId="97" xfId="0" applyFont="1" applyFill="1" applyBorder="1" applyAlignment="1">
      <alignment wrapText="1"/>
    </xf>
    <xf numFmtId="166" fontId="12" fillId="0" borderId="97" xfId="0" applyNumberFormat="1" applyFont="1" applyBorder="1" applyAlignment="1">
      <alignment horizontal="right" vertical="center" wrapText="1"/>
    </xf>
    <xf numFmtId="166" fontId="12" fillId="0" borderId="96" xfId="0" applyNumberFormat="1" applyFont="1" applyBorder="1" applyAlignment="1">
      <alignment horizontal="right" wrapText="1"/>
    </xf>
    <xf numFmtId="0" fontId="12" fillId="3" borderId="101" xfId="0" applyFont="1" applyFill="1" applyBorder="1" applyAlignment="1">
      <alignment wrapText="1"/>
    </xf>
    <xf numFmtId="0" fontId="19" fillId="3" borderId="96" xfId="0" applyFont="1" applyFill="1" applyBorder="1" applyAlignment="1">
      <alignment horizontal="center" vertical="center"/>
    </xf>
    <xf numFmtId="0" fontId="12" fillId="3" borderId="101" xfId="0" applyFont="1" applyFill="1" applyBorder="1" applyAlignment="1">
      <alignment horizontal="center" vertical="center" wrapText="1"/>
    </xf>
    <xf numFmtId="0" fontId="19" fillId="3" borderId="97" xfId="0" applyFont="1" applyFill="1" applyBorder="1" applyAlignment="1">
      <alignment horizontal="center" vertical="center"/>
    </xf>
    <xf numFmtId="0" fontId="12" fillId="3" borderId="103" xfId="0" applyFont="1" applyFill="1" applyBorder="1" applyAlignment="1">
      <alignment horizontal="center" vertical="center" wrapText="1"/>
    </xf>
    <xf numFmtId="166" fontId="12" fillId="0" borderId="97" xfId="0" applyNumberFormat="1" applyFont="1" applyBorder="1" applyAlignment="1">
      <alignment horizontal="right" wrapText="1"/>
    </xf>
    <xf numFmtId="0" fontId="12" fillId="3" borderId="103" xfId="0" applyFont="1" applyFill="1" applyBorder="1" applyAlignment="1">
      <alignment wrapText="1"/>
    </xf>
    <xf numFmtId="0" fontId="17" fillId="3" borderId="97" xfId="0" applyFont="1" applyFill="1" applyBorder="1" applyAlignment="1">
      <alignment wrapText="1"/>
    </xf>
    <xf numFmtId="0" fontId="20" fillId="3" borderId="0" xfId="1" applyFont="1" applyFill="1" applyAlignment="1">
      <alignment wrapText="1"/>
    </xf>
    <xf numFmtId="0" fontId="12" fillId="3" borderId="96" xfId="0" applyFont="1" applyFill="1" applyBorder="1" applyAlignment="1">
      <alignment horizontal="center" wrapText="1"/>
    </xf>
    <xf numFmtId="166" fontId="12" fillId="2" borderId="96" xfId="0" applyNumberFormat="1" applyFont="1" applyFill="1" applyBorder="1" applyAlignment="1">
      <alignment horizontal="center" vertical="center" wrapText="1"/>
    </xf>
    <xf numFmtId="0" fontId="7" fillId="3" borderId="0" xfId="1" applyFill="1"/>
    <xf numFmtId="166" fontId="12" fillId="2" borderId="96" xfId="0" applyNumberFormat="1" applyFont="1" applyFill="1" applyBorder="1" applyAlignment="1">
      <alignment horizontal="right" wrapText="1"/>
    </xf>
    <xf numFmtId="0" fontId="12" fillId="6" borderId="96" xfId="0" applyFont="1" applyFill="1" applyBorder="1" applyAlignment="1">
      <alignment horizontal="center" wrapText="1"/>
    </xf>
    <xf numFmtId="0" fontId="12" fillId="6" borderId="96" xfId="0" applyFont="1" applyFill="1" applyBorder="1" applyAlignment="1">
      <alignment horizontal="center" vertical="center" wrapText="1"/>
    </xf>
    <xf numFmtId="166" fontId="12" fillId="6" borderId="96" xfId="0" applyNumberFormat="1" applyFont="1" applyFill="1" applyBorder="1" applyAlignment="1">
      <alignment horizontal="right" wrapText="1"/>
    </xf>
    <xf numFmtId="0" fontId="13" fillId="6" borderId="96" xfId="0" applyFont="1" applyFill="1" applyBorder="1" applyAlignment="1">
      <alignment horizontal="center" vertical="center" wrapText="1"/>
    </xf>
    <xf numFmtId="1" fontId="12" fillId="6" borderId="96" xfId="0" applyNumberFormat="1" applyFont="1" applyFill="1" applyBorder="1" applyAlignment="1">
      <alignment horizontal="center" vertical="center" wrapText="1"/>
    </xf>
    <xf numFmtId="14" fontId="12" fillId="6" borderId="96" xfId="0" applyNumberFormat="1" applyFont="1" applyFill="1" applyBorder="1" applyAlignment="1">
      <alignment horizontal="center" vertical="center" wrapText="1"/>
    </xf>
    <xf numFmtId="0" fontId="17" fillId="6" borderId="96" xfId="0" applyFont="1" applyFill="1" applyBorder="1" applyAlignment="1">
      <alignment horizontal="center" vertical="center" wrapText="1"/>
    </xf>
    <xf numFmtId="166" fontId="12" fillId="6" borderId="96" xfId="0" applyNumberFormat="1" applyFont="1" applyFill="1" applyBorder="1" applyAlignment="1">
      <alignment horizontal="right" vertical="center" wrapText="1"/>
    </xf>
    <xf numFmtId="0" fontId="20" fillId="3" borderId="0" xfId="1" applyFont="1" applyFill="1"/>
    <xf numFmtId="0" fontId="20" fillId="3" borderId="96" xfId="1" applyFont="1" applyFill="1" applyBorder="1"/>
    <xf numFmtId="14" fontId="12" fillId="0" borderId="102" xfId="0" applyNumberFormat="1" applyFont="1" applyBorder="1" applyAlignment="1">
      <alignment horizontal="center" vertical="center" wrapText="1"/>
    </xf>
    <xf numFmtId="14" fontId="12" fillId="0" borderId="100" xfId="0" applyNumberFormat="1" applyFont="1" applyBorder="1" applyAlignment="1">
      <alignment horizontal="center" vertical="center" wrapText="1"/>
    </xf>
    <xf numFmtId="166" fontId="14" fillId="2" borderId="103" xfId="0" applyNumberFormat="1" applyFont="1" applyFill="1" applyBorder="1" applyAlignment="1">
      <alignment vertical="center" wrapText="1"/>
    </xf>
    <xf numFmtId="166" fontId="12" fillId="0" borderId="101" xfId="0" applyNumberFormat="1" applyFont="1" applyBorder="1" applyAlignment="1">
      <alignment horizontal="right" vertical="center" wrapText="1"/>
    </xf>
    <xf numFmtId="0" fontId="12" fillId="7" borderId="96" xfId="0" applyFont="1" applyFill="1" applyBorder="1" applyAlignment="1">
      <alignment horizontal="center" wrapText="1"/>
    </xf>
    <xf numFmtId="0" fontId="12" fillId="7" borderId="96" xfId="0" applyFont="1" applyFill="1" applyBorder="1" applyAlignment="1">
      <alignment horizontal="center" vertical="center" wrapText="1"/>
    </xf>
    <xf numFmtId="166" fontId="12" fillId="7" borderId="96" xfId="0" applyNumberFormat="1" applyFont="1" applyFill="1" applyBorder="1" applyAlignment="1">
      <alignment horizontal="right" wrapText="1"/>
    </xf>
    <xf numFmtId="0" fontId="13" fillId="7" borderId="96" xfId="0" applyFont="1" applyFill="1" applyBorder="1" applyAlignment="1">
      <alignment horizontal="center" vertical="center" wrapText="1"/>
    </xf>
    <xf numFmtId="1" fontId="12" fillId="7" borderId="96" xfId="0" applyNumberFormat="1" applyFont="1" applyFill="1" applyBorder="1" applyAlignment="1">
      <alignment horizontal="center" vertical="center" wrapText="1"/>
    </xf>
    <xf numFmtId="14" fontId="12" fillId="7" borderId="96" xfId="0" applyNumberFormat="1" applyFont="1" applyFill="1" applyBorder="1" applyAlignment="1">
      <alignment horizontal="center" vertical="center" wrapText="1"/>
    </xf>
    <xf numFmtId="0" fontId="17" fillId="7" borderId="96" xfId="0" applyFont="1" applyFill="1" applyBorder="1" applyAlignment="1">
      <alignment horizontal="center" vertical="center" wrapText="1"/>
    </xf>
    <xf numFmtId="166" fontId="12" fillId="7" borderId="96" xfId="0" applyNumberFormat="1" applyFont="1" applyFill="1" applyBorder="1" applyAlignment="1">
      <alignment horizontal="right" vertical="center" wrapText="1"/>
    </xf>
    <xf numFmtId="0" fontId="12" fillId="7" borderId="0" xfId="0" applyFont="1" applyFill="1" applyAlignment="1">
      <alignment wrapText="1"/>
    </xf>
    <xf numFmtId="166" fontId="12" fillId="2" borderId="96" xfId="0" applyNumberFormat="1" applyFont="1" applyFill="1" applyBorder="1" applyAlignment="1">
      <alignment horizontal="right" vertical="center"/>
    </xf>
    <xf numFmtId="0" fontId="7" fillId="0" borderId="0" xfId="1"/>
    <xf numFmtId="0" fontId="15" fillId="3" borderId="96" xfId="0" applyFont="1" applyFill="1" applyBorder="1" applyAlignment="1">
      <alignment horizontal="center" vertical="center" wrapText="1"/>
    </xf>
    <xf numFmtId="0" fontId="13" fillId="3" borderId="99" xfId="0" applyFont="1" applyFill="1" applyBorder="1" applyAlignment="1">
      <alignment horizontal="center" vertical="center" wrapText="1"/>
    </xf>
    <xf numFmtId="166" fontId="12" fillId="2" borderId="0" xfId="0" applyNumberFormat="1" applyFont="1" applyFill="1" applyAlignment="1">
      <alignment horizontal="right" vertical="center" wrapText="1"/>
    </xf>
    <xf numFmtId="166" fontId="12" fillId="0" borderId="96" xfId="0" applyNumberFormat="1" applyFont="1" applyBorder="1" applyAlignment="1">
      <alignment wrapText="1"/>
    </xf>
    <xf numFmtId="14" fontId="12" fillId="2" borderId="100" xfId="0" applyNumberFormat="1" applyFont="1" applyFill="1" applyBorder="1" applyAlignment="1">
      <alignment horizontal="center" vertical="center" wrapText="1"/>
    </xf>
    <xf numFmtId="0" fontId="12" fillId="2" borderId="101" xfId="0" applyFont="1" applyFill="1" applyBorder="1" applyAlignment="1">
      <alignment horizontal="center" vertical="center" wrapText="1"/>
    </xf>
    <xf numFmtId="166" fontId="12" fillId="2" borderId="97" xfId="0" applyNumberFormat="1" applyFont="1" applyFill="1" applyBorder="1" applyAlignment="1">
      <alignment horizontal="right" vertical="center"/>
    </xf>
    <xf numFmtId="166" fontId="12" fillId="2" borderId="100" xfId="0" applyNumberFormat="1" applyFont="1" applyFill="1" applyBorder="1" applyAlignment="1">
      <alignment horizontal="right" vertical="center"/>
    </xf>
    <xf numFmtId="0" fontId="12" fillId="3" borderId="106" xfId="0" applyFont="1" applyFill="1" applyBorder="1" applyAlignment="1">
      <alignment horizontal="center" vertical="center" wrapText="1"/>
    </xf>
    <xf numFmtId="1" fontId="12" fillId="3" borderId="100" xfId="0" applyNumberFormat="1" applyFont="1" applyFill="1" applyBorder="1" applyAlignment="1">
      <alignment horizontal="center" vertical="center" wrapText="1"/>
    </xf>
    <xf numFmtId="1" fontId="12" fillId="3" borderId="101" xfId="0" applyNumberFormat="1" applyFont="1" applyFill="1" applyBorder="1" applyAlignment="1">
      <alignment horizontal="center" vertical="center" wrapText="1"/>
    </xf>
    <xf numFmtId="0" fontId="18" fillId="6" borderId="96" xfId="1" applyFont="1" applyFill="1" applyBorder="1" applyAlignment="1">
      <alignment horizontal="center" vertical="center" wrapText="1"/>
    </xf>
    <xf numFmtId="166" fontId="14" fillId="6" borderId="96" xfId="0" applyNumberFormat="1" applyFont="1" applyFill="1" applyBorder="1" applyAlignment="1">
      <alignment vertical="center" wrapText="1"/>
    </xf>
    <xf numFmtId="0" fontId="12" fillId="6" borderId="99" xfId="0" applyFont="1" applyFill="1" applyBorder="1" applyAlignment="1">
      <alignment horizontal="center" vertical="center" wrapText="1"/>
    </xf>
    <xf numFmtId="0" fontId="7" fillId="6" borderId="96" xfId="1" applyFill="1" applyBorder="1" applyAlignment="1">
      <alignment horizontal="center" vertical="center" wrapText="1"/>
    </xf>
    <xf numFmtId="0" fontId="12" fillId="8" borderId="96" xfId="0" applyFont="1" applyFill="1" applyBorder="1" applyAlignment="1">
      <alignment horizontal="center" vertical="center" wrapText="1"/>
    </xf>
    <xf numFmtId="166" fontId="12" fillId="8" borderId="96" xfId="0" applyNumberFormat="1" applyFont="1" applyFill="1" applyBorder="1" applyAlignment="1">
      <alignment horizontal="right" vertical="center" wrapText="1"/>
    </xf>
    <xf numFmtId="1" fontId="12" fillId="8" borderId="96" xfId="0" applyNumberFormat="1" applyFont="1" applyFill="1" applyBorder="1" applyAlignment="1">
      <alignment horizontal="center" vertical="center" wrapText="1"/>
    </xf>
    <xf numFmtId="14" fontId="12" fillId="8" borderId="96" xfId="0" applyNumberFormat="1" applyFont="1" applyFill="1" applyBorder="1" applyAlignment="1">
      <alignment horizontal="center" vertical="center" wrapText="1"/>
    </xf>
    <xf numFmtId="0" fontId="18" fillId="8" borderId="96" xfId="1" applyFont="1" applyFill="1" applyBorder="1" applyAlignment="1">
      <alignment horizontal="center" vertical="center" wrapText="1"/>
    </xf>
    <xf numFmtId="166" fontId="12" fillId="8" borderId="96" xfId="0" applyNumberFormat="1" applyFont="1" applyFill="1" applyBorder="1" applyAlignment="1">
      <alignment vertical="center" wrapText="1"/>
    </xf>
    <xf numFmtId="0" fontId="12" fillId="8" borderId="0" xfId="0" applyFont="1" applyFill="1" applyAlignment="1">
      <alignment wrapText="1"/>
    </xf>
    <xf numFmtId="0" fontId="7" fillId="0" borderId="96" xfId="1" applyBorder="1" applyAlignment="1">
      <alignment wrapText="1"/>
    </xf>
    <xf numFmtId="166" fontId="12" fillId="2" borderId="101" xfId="0" applyNumberFormat="1" applyFont="1" applyFill="1" applyBorder="1" applyAlignment="1">
      <alignment horizontal="right" vertical="center" wrapText="1"/>
    </xf>
    <xf numFmtId="0" fontId="1" fillId="0" borderId="93" xfId="0" applyFont="1" applyBorder="1" applyAlignment="1">
      <alignment vertical="center" wrapText="1"/>
    </xf>
    <xf numFmtId="0" fontId="1" fillId="0" borderId="73" xfId="0" applyFont="1" applyBorder="1" applyAlignment="1">
      <alignment vertical="center" wrapText="1"/>
    </xf>
    <xf numFmtId="0" fontId="1" fillId="0" borderId="87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60" xfId="0" applyFont="1" applyBorder="1" applyAlignment="1">
      <alignment vertical="center" wrapText="1"/>
    </xf>
    <xf numFmtId="0" fontId="1" fillId="0" borderId="50" xfId="0" applyFont="1" applyBorder="1" applyAlignment="1">
      <alignment horizontal="center"/>
    </xf>
    <xf numFmtId="0" fontId="1" fillId="0" borderId="51" xfId="0" applyFont="1" applyBorder="1" applyAlignment="1">
      <alignment vertical="center" wrapText="1"/>
    </xf>
    <xf numFmtId="0" fontId="1" fillId="0" borderId="56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63" xfId="0" applyFont="1" applyBorder="1" applyAlignment="1">
      <alignment vertical="center" wrapText="1"/>
    </xf>
    <xf numFmtId="0" fontId="1" fillId="0" borderId="69" xfId="0" applyFont="1" applyBorder="1" applyAlignment="1">
      <alignment vertical="center" wrapText="1"/>
    </xf>
    <xf numFmtId="0" fontId="1" fillId="0" borderId="89" xfId="0" applyFont="1" applyBorder="1" applyAlignment="1">
      <alignment vertical="center" wrapText="1"/>
    </xf>
    <xf numFmtId="0" fontId="1" fillId="0" borderId="65" xfId="0" applyFont="1" applyBorder="1" applyAlignment="1">
      <alignment vertical="center" wrapText="1"/>
    </xf>
    <xf numFmtId="0" fontId="1" fillId="0" borderId="80" xfId="0" applyFont="1" applyBorder="1" applyAlignment="1">
      <alignment horizontal="center"/>
    </xf>
    <xf numFmtId="0" fontId="1" fillId="0" borderId="81" xfId="0" applyFont="1" applyBorder="1" applyAlignment="1">
      <alignment vertical="center" wrapText="1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3" xfId="0" applyFont="1" applyBorder="1" applyAlignment="1"/>
    <xf numFmtId="0" fontId="3" fillId="0" borderId="24" xfId="0" applyFont="1" applyBorder="1" applyAlignment="1"/>
    <xf numFmtId="0" fontId="3" fillId="0" borderId="26" xfId="0" applyFont="1" applyBorder="1" applyAlignment="1"/>
    <xf numFmtId="0" fontId="3" fillId="0" borderId="27" xfId="0" applyFont="1" applyBorder="1" applyAlignment="1"/>
    <xf numFmtId="0" fontId="3" fillId="0" borderId="29" xfId="0" applyFont="1" applyBorder="1" applyAlignment="1"/>
    <xf numFmtId="0" fontId="3" fillId="0" borderId="30" xfId="0" applyFont="1" applyBorder="1" applyAlignment="1"/>
    <xf numFmtId="0" fontId="1" fillId="0" borderId="51" xfId="0" applyFont="1" applyBorder="1" applyAlignment="1"/>
    <xf numFmtId="0" fontId="1" fillId="0" borderId="60" xfId="0" applyFont="1" applyBorder="1" applyAlignment="1"/>
    <xf numFmtId="0" fontId="1" fillId="0" borderId="63" xfId="0" applyFont="1" applyBorder="1" applyAlignment="1"/>
    <xf numFmtId="0" fontId="3" fillId="0" borderId="66" xfId="0" applyFont="1" applyBorder="1" applyAlignment="1"/>
    <xf numFmtId="0" fontId="3" fillId="0" borderId="67" xfId="0" applyFont="1" applyBorder="1" applyAlignment="1"/>
    <xf numFmtId="0" fontId="3" fillId="0" borderId="70" xfId="0" applyFont="1" applyBorder="1" applyAlignment="1"/>
    <xf numFmtId="0" fontId="3" fillId="0" borderId="71" xfId="0" applyFont="1" applyBorder="1" applyAlignment="1"/>
    <xf numFmtId="0" fontId="3" fillId="0" borderId="74" xfId="0" applyFont="1" applyBorder="1" applyAlignment="1"/>
    <xf numFmtId="0" fontId="3" fillId="0" borderId="75" xfId="0" applyFont="1" applyBorder="1" applyAlignment="1"/>
    <xf numFmtId="0" fontId="1" fillId="0" borderId="81" xfId="0" applyFont="1" applyBorder="1" applyAlignment="1"/>
    <xf numFmtId="0" fontId="1" fillId="0" borderId="86" xfId="0" applyFont="1" applyBorder="1" applyAlignment="1"/>
    <xf numFmtId="0" fontId="1" fillId="0" borderId="87" xfId="0" applyFont="1" applyBorder="1" applyAlignment="1"/>
    <xf numFmtId="0" fontId="3" fillId="0" borderId="90" xfId="0" applyFont="1" applyBorder="1" applyAlignment="1"/>
    <xf numFmtId="0" fontId="3" fillId="0" borderId="91" xfId="0" applyFont="1" applyBorder="1" applyAlignment="1"/>
    <xf numFmtId="0" fontId="3" fillId="0" borderId="94" xfId="0" applyFont="1" applyBorder="1" applyAlignment="1"/>
    <xf numFmtId="0" fontId="3" fillId="0" borderId="95" xfId="0" applyFont="1" applyBorder="1" applyAlignment="1"/>
  </cellXfs>
  <cellStyles count="2">
    <cellStyle name="Hyperlink" xfId="1" xr:uid="{00000000-000B-0000-0000-000008000000}"/>
    <cellStyle name="Normal" xfId="0" builtinId="0"/>
  </cellStyles>
  <dxfs count="68"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numFmt numFmtId="166" formatCode="[$$-240A]\ #,##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67" formatCode="_-[$$-240A]\ * #,##0.00_-;\-[$$-240A]\ * #,##0.00_-;_-[$$-240A]\ * &quot;-&quot;??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numFmt numFmtId="166" formatCode="[$$-240A]\ 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67" formatCode="_-[$$-240A]\ * #,##0.00_-;\-[$$-240A]\ * #,##0.00_-;_-[$$-240A]\ * &quot;-&quot;??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7"/>
        <name val="Century Gothic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89C6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22/10/relationships/richValueRel" Target="richData/richValueRel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[Plantilla_Tablero_Comercial_PRISA.xlsx]TABLAS DE DATA!TablaDinámica3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DE DATA'!$I$6</c:f>
              <c:strCache>
                <c:ptCount val="1"/>
                <c:pt idx="0">
                  <c:v>Suma de VENTA ESTIMADA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'TABLAS DE DATA'!$H$7:$H$57</c:f>
              <c:multiLvlStrCache>
                <c:ptCount val="29"/>
                <c:lvl>
                  <c:pt idx="0">
                    <c:v>ALIANZAS</c:v>
                  </c:pt>
                  <c:pt idx="1">
                    <c:v>Felipe Guillen</c:v>
                  </c:pt>
                  <c:pt idx="2">
                    <c:v>Andrea Morales</c:v>
                  </c:pt>
                  <c:pt idx="3">
                    <c:v>Carolina Diaz</c:v>
                  </c:pt>
                  <c:pt idx="4">
                    <c:v>Natalia Zambrano</c:v>
                  </c:pt>
                  <c:pt idx="5">
                    <c:v>Rosa Diaz</c:v>
                  </c:pt>
                  <c:pt idx="6">
                    <c:v>Andrea Morales </c:v>
                  </c:pt>
                  <c:pt idx="7">
                    <c:v>Camilo Prada</c:v>
                  </c:pt>
                  <c:pt idx="8">
                    <c:v>Lina Lemus</c:v>
                  </c:pt>
                  <c:pt idx="9">
                    <c:v>Luisa Escobar</c:v>
                  </c:pt>
                  <c:pt idx="10">
                    <c:v>Lina Lemus</c:v>
                  </c:pt>
                  <c:pt idx="11">
                    <c:v>Laura Calvera </c:v>
                  </c:pt>
                  <c:pt idx="12">
                    <c:v>Diana Andrea Rodriguez</c:v>
                  </c:pt>
                  <c:pt idx="13">
                    <c:v>Helen Fajardo</c:v>
                  </c:pt>
                  <c:pt idx="14">
                    <c:v>Elsa Cortez</c:v>
                  </c:pt>
                  <c:pt idx="15">
                    <c:v>Laura Melo</c:v>
                  </c:pt>
                  <c:pt idx="16">
                    <c:v>Diana Andrea Rodiguez</c:v>
                  </c:pt>
                  <c:pt idx="17">
                    <c:v>Karen Perez</c:v>
                  </c:pt>
                  <c:pt idx="18">
                    <c:v>Luis López</c:v>
                  </c:pt>
                  <c:pt idx="19">
                    <c:v>Karen Perez</c:v>
                  </c:pt>
                  <c:pt idx="20">
                    <c:v>Mauricio Agudelo</c:v>
                  </c:pt>
                  <c:pt idx="21">
                    <c:v>Carol Beltan </c:v>
                  </c:pt>
                  <c:pt idx="22">
                    <c:v>Ana Maria Castañeda</c:v>
                  </c:pt>
                  <c:pt idx="23">
                    <c:v>Carol Beltan </c:v>
                  </c:pt>
                  <c:pt idx="24">
                    <c:v>Luz Karime Hernandez</c:v>
                  </c:pt>
                  <c:pt idx="25">
                    <c:v>Raul Herrera </c:v>
                  </c:pt>
                  <c:pt idx="26">
                    <c:v>Ana Maria Castañeda</c:v>
                  </c:pt>
                  <c:pt idx="27">
                    <c:v>Luz Karime Hernandez</c:v>
                  </c:pt>
                  <c:pt idx="28">
                    <c:v>PRODUCTOS GENERALES</c:v>
                  </c:pt>
                </c:lvl>
                <c:lvl>
                  <c:pt idx="0">
                    <c:v>En seguimiento</c:v>
                  </c:pt>
                  <c:pt idx="1">
                    <c:v>Cerrada</c:v>
                  </c:pt>
                  <c:pt idx="2">
                    <c:v>En seguimiento</c:v>
                  </c:pt>
                  <c:pt idx="7">
                    <c:v>En seguimiento</c:v>
                  </c:pt>
                  <c:pt idx="10">
                    <c:v>Por cerrar</c:v>
                  </c:pt>
                  <c:pt idx="11">
                    <c:v>Cerrada</c:v>
                  </c:pt>
                  <c:pt idx="12">
                    <c:v>En seguimiento</c:v>
                  </c:pt>
                  <c:pt idx="16">
                    <c:v>Por cerrar</c:v>
                  </c:pt>
                  <c:pt idx="17">
                    <c:v>Cerrada</c:v>
                  </c:pt>
                  <c:pt idx="19">
                    <c:v>En seguimiento</c:v>
                  </c:pt>
                  <c:pt idx="21">
                    <c:v>Cerrada</c:v>
                  </c:pt>
                  <c:pt idx="23">
                    <c:v>En seguimiento</c:v>
                  </c:pt>
                  <c:pt idx="27">
                    <c:v>Por cerrar</c:v>
                  </c:pt>
                  <c:pt idx="28">
                    <c:v>En seguimiento</c:v>
                  </c:pt>
                </c:lvl>
                <c:lvl>
                  <c:pt idx="0">
                    <c:v>ALIANZAS</c:v>
                  </c:pt>
                  <c:pt idx="1">
                    <c:v>N1</c:v>
                  </c:pt>
                  <c:pt idx="7">
                    <c:v>N2</c:v>
                  </c:pt>
                  <c:pt idx="11">
                    <c:v>N3</c:v>
                  </c:pt>
                  <c:pt idx="17">
                    <c:v>N4</c:v>
                  </c:pt>
                  <c:pt idx="21">
                    <c:v>N5</c:v>
                  </c:pt>
                  <c:pt idx="28">
                    <c:v>PRODUCTOS GENERALES</c:v>
                  </c:pt>
                </c:lvl>
              </c:multiLvlStrCache>
            </c:multiLvlStrRef>
          </c:cat>
          <c:val>
            <c:numRef>
              <c:f>'TABLAS DE DATA'!$I$7:$I$57</c:f>
              <c:numCache>
                <c:formatCode>"$"\ #,##0</c:formatCode>
                <c:ptCount val="29"/>
                <c:pt idx="0">
                  <c:v>20000000</c:v>
                </c:pt>
                <c:pt idx="1">
                  <c:v>15000000</c:v>
                </c:pt>
                <c:pt idx="2">
                  <c:v>138500000</c:v>
                </c:pt>
                <c:pt idx="3">
                  <c:v>100000000</c:v>
                </c:pt>
                <c:pt idx="4">
                  <c:v>30000000</c:v>
                </c:pt>
                <c:pt idx="5">
                  <c:v>100000000</c:v>
                </c:pt>
                <c:pt idx="6">
                  <c:v>34000000</c:v>
                </c:pt>
                <c:pt idx="7">
                  <c:v>42050587</c:v>
                </c:pt>
                <c:pt idx="8">
                  <c:v>75000000</c:v>
                </c:pt>
                <c:pt idx="9">
                  <c:v>91773985</c:v>
                </c:pt>
                <c:pt idx="10">
                  <c:v>70000000</c:v>
                </c:pt>
                <c:pt idx="11">
                  <c:v>5000000</c:v>
                </c:pt>
                <c:pt idx="12">
                  <c:v>70000000</c:v>
                </c:pt>
                <c:pt idx="13">
                  <c:v>40000000</c:v>
                </c:pt>
                <c:pt idx="14">
                  <c:v>42950000</c:v>
                </c:pt>
                <c:pt idx="15">
                  <c:v>35000000</c:v>
                </c:pt>
                <c:pt idx="16">
                  <c:v>50000000</c:v>
                </c:pt>
                <c:pt idx="17">
                  <c:v>62000000</c:v>
                </c:pt>
                <c:pt idx="18">
                  <c:v>200000000</c:v>
                </c:pt>
                <c:pt idx="19">
                  <c:v>110568560</c:v>
                </c:pt>
                <c:pt idx="20">
                  <c:v>68800000</c:v>
                </c:pt>
                <c:pt idx="21">
                  <c:v>20000000</c:v>
                </c:pt>
                <c:pt idx="22">
                  <c:v>30000000</c:v>
                </c:pt>
                <c:pt idx="23">
                  <c:v>138000000</c:v>
                </c:pt>
                <c:pt idx="24">
                  <c:v>45700000</c:v>
                </c:pt>
                <c:pt idx="25">
                  <c:v>35000000</c:v>
                </c:pt>
                <c:pt idx="26">
                  <c:v>52275000</c:v>
                </c:pt>
                <c:pt idx="27">
                  <c:v>48000000</c:v>
                </c:pt>
                <c:pt idx="28">
                  <c:v>220000000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D-4343-8445-D4D20BC8EEFF}"/>
            </c:ext>
          </c:extLst>
        </c:ser>
        <c:ser>
          <c:idx val="1"/>
          <c:order val="1"/>
          <c:tx>
            <c:strRef>
              <c:f>'TABLAS DE DATA'!$J$6</c:f>
              <c:strCache>
                <c:ptCount val="1"/>
                <c:pt idx="0">
                  <c:v>Suma de VALOR DE LA PROPUESTA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'TABLAS DE DATA'!$H$7:$H$57</c:f>
              <c:multiLvlStrCache>
                <c:ptCount val="29"/>
                <c:lvl>
                  <c:pt idx="0">
                    <c:v>ALIANZAS</c:v>
                  </c:pt>
                  <c:pt idx="1">
                    <c:v>Felipe Guillen</c:v>
                  </c:pt>
                  <c:pt idx="2">
                    <c:v>Andrea Morales</c:v>
                  </c:pt>
                  <c:pt idx="3">
                    <c:v>Carolina Diaz</c:v>
                  </c:pt>
                  <c:pt idx="4">
                    <c:v>Natalia Zambrano</c:v>
                  </c:pt>
                  <c:pt idx="5">
                    <c:v>Rosa Diaz</c:v>
                  </c:pt>
                  <c:pt idx="6">
                    <c:v>Andrea Morales </c:v>
                  </c:pt>
                  <c:pt idx="7">
                    <c:v>Camilo Prada</c:v>
                  </c:pt>
                  <c:pt idx="8">
                    <c:v>Lina Lemus</c:v>
                  </c:pt>
                  <c:pt idx="9">
                    <c:v>Luisa Escobar</c:v>
                  </c:pt>
                  <c:pt idx="10">
                    <c:v>Lina Lemus</c:v>
                  </c:pt>
                  <c:pt idx="11">
                    <c:v>Laura Calvera </c:v>
                  </c:pt>
                  <c:pt idx="12">
                    <c:v>Diana Andrea Rodriguez</c:v>
                  </c:pt>
                  <c:pt idx="13">
                    <c:v>Helen Fajardo</c:v>
                  </c:pt>
                  <c:pt idx="14">
                    <c:v>Elsa Cortez</c:v>
                  </c:pt>
                  <c:pt idx="15">
                    <c:v>Laura Melo</c:v>
                  </c:pt>
                  <c:pt idx="16">
                    <c:v>Diana Andrea Rodiguez</c:v>
                  </c:pt>
                  <c:pt idx="17">
                    <c:v>Karen Perez</c:v>
                  </c:pt>
                  <c:pt idx="18">
                    <c:v>Luis López</c:v>
                  </c:pt>
                  <c:pt idx="19">
                    <c:v>Karen Perez</c:v>
                  </c:pt>
                  <c:pt idx="20">
                    <c:v>Mauricio Agudelo</c:v>
                  </c:pt>
                  <c:pt idx="21">
                    <c:v>Carol Beltan </c:v>
                  </c:pt>
                  <c:pt idx="22">
                    <c:v>Ana Maria Castañeda</c:v>
                  </c:pt>
                  <c:pt idx="23">
                    <c:v>Carol Beltan </c:v>
                  </c:pt>
                  <c:pt idx="24">
                    <c:v>Luz Karime Hernandez</c:v>
                  </c:pt>
                  <c:pt idx="25">
                    <c:v>Raul Herrera </c:v>
                  </c:pt>
                  <c:pt idx="26">
                    <c:v>Ana Maria Castañeda</c:v>
                  </c:pt>
                  <c:pt idx="27">
                    <c:v>Luz Karime Hernandez</c:v>
                  </c:pt>
                  <c:pt idx="28">
                    <c:v>PRODUCTOS GENERALES</c:v>
                  </c:pt>
                </c:lvl>
                <c:lvl>
                  <c:pt idx="0">
                    <c:v>En seguimiento</c:v>
                  </c:pt>
                  <c:pt idx="1">
                    <c:v>Cerrada</c:v>
                  </c:pt>
                  <c:pt idx="2">
                    <c:v>En seguimiento</c:v>
                  </c:pt>
                  <c:pt idx="7">
                    <c:v>En seguimiento</c:v>
                  </c:pt>
                  <c:pt idx="10">
                    <c:v>Por cerrar</c:v>
                  </c:pt>
                  <c:pt idx="11">
                    <c:v>Cerrada</c:v>
                  </c:pt>
                  <c:pt idx="12">
                    <c:v>En seguimiento</c:v>
                  </c:pt>
                  <c:pt idx="16">
                    <c:v>Por cerrar</c:v>
                  </c:pt>
                  <c:pt idx="17">
                    <c:v>Cerrada</c:v>
                  </c:pt>
                  <c:pt idx="19">
                    <c:v>En seguimiento</c:v>
                  </c:pt>
                  <c:pt idx="21">
                    <c:v>Cerrada</c:v>
                  </c:pt>
                  <c:pt idx="23">
                    <c:v>En seguimiento</c:v>
                  </c:pt>
                  <c:pt idx="27">
                    <c:v>Por cerrar</c:v>
                  </c:pt>
                  <c:pt idx="28">
                    <c:v>En seguimiento</c:v>
                  </c:pt>
                </c:lvl>
                <c:lvl>
                  <c:pt idx="0">
                    <c:v>ALIANZAS</c:v>
                  </c:pt>
                  <c:pt idx="1">
                    <c:v>N1</c:v>
                  </c:pt>
                  <c:pt idx="7">
                    <c:v>N2</c:v>
                  </c:pt>
                  <c:pt idx="11">
                    <c:v>N3</c:v>
                  </c:pt>
                  <c:pt idx="17">
                    <c:v>N4</c:v>
                  </c:pt>
                  <c:pt idx="21">
                    <c:v>N5</c:v>
                  </c:pt>
                  <c:pt idx="28">
                    <c:v>PRODUCTOS GENERALES</c:v>
                  </c:pt>
                </c:lvl>
              </c:multiLvlStrCache>
            </c:multiLvlStrRef>
          </c:cat>
          <c:val>
            <c:numRef>
              <c:f>'TABLAS DE DATA'!$J$7:$J$57</c:f>
              <c:numCache>
                <c:formatCode>"$"\ #,##0</c:formatCode>
                <c:ptCount val="29"/>
                <c:pt idx="0">
                  <c:v>20000000</c:v>
                </c:pt>
                <c:pt idx="1">
                  <c:v>32000000</c:v>
                </c:pt>
                <c:pt idx="2">
                  <c:v>166514863</c:v>
                </c:pt>
                <c:pt idx="3">
                  <c:v>108000000</c:v>
                </c:pt>
                <c:pt idx="4">
                  <c:v>32600000</c:v>
                </c:pt>
                <c:pt idx="5">
                  <c:v>116000000</c:v>
                </c:pt>
                <c:pt idx="6">
                  <c:v>34000000</c:v>
                </c:pt>
                <c:pt idx="7">
                  <c:v>60000000</c:v>
                </c:pt>
                <c:pt idx="8">
                  <c:v>75000000</c:v>
                </c:pt>
                <c:pt idx="9">
                  <c:v>134444200</c:v>
                </c:pt>
                <c:pt idx="10">
                  <c:v>70000000</c:v>
                </c:pt>
                <c:pt idx="11">
                  <c:v>5500000</c:v>
                </c:pt>
                <c:pt idx="12">
                  <c:v>70000000</c:v>
                </c:pt>
                <c:pt idx="13">
                  <c:v>46437280</c:v>
                </c:pt>
                <c:pt idx="14">
                  <c:v>42950000</c:v>
                </c:pt>
                <c:pt idx="15">
                  <c:v>35000000</c:v>
                </c:pt>
                <c:pt idx="16">
                  <c:v>50686060</c:v>
                </c:pt>
                <c:pt idx="17">
                  <c:v>63577700</c:v>
                </c:pt>
                <c:pt idx="18">
                  <c:v>200000000</c:v>
                </c:pt>
                <c:pt idx="19">
                  <c:v>101848560</c:v>
                </c:pt>
                <c:pt idx="20">
                  <c:v>71800000</c:v>
                </c:pt>
                <c:pt idx="21">
                  <c:v>18000000</c:v>
                </c:pt>
                <c:pt idx="22">
                  <c:v>30000000</c:v>
                </c:pt>
                <c:pt idx="23">
                  <c:v>158500000</c:v>
                </c:pt>
                <c:pt idx="24">
                  <c:v>24664200</c:v>
                </c:pt>
                <c:pt idx="25">
                  <c:v>39000000</c:v>
                </c:pt>
                <c:pt idx="26">
                  <c:v>52275000</c:v>
                </c:pt>
                <c:pt idx="27">
                  <c:v>48000000</c:v>
                </c:pt>
                <c:pt idx="28">
                  <c:v>220000000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8D-4343-8445-D4D20BC8E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079120"/>
        <c:axId val="1471805024"/>
      </c:barChart>
      <c:catAx>
        <c:axId val="127407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805024"/>
        <c:crosses val="autoZero"/>
        <c:auto val="1"/>
        <c:lblAlgn val="ctr"/>
        <c:lblOffset val="100"/>
        <c:noMultiLvlLbl val="0"/>
      </c:catAx>
      <c:valAx>
        <c:axId val="147180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407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609600</xdr:colOff>
      <xdr:row>28</xdr:row>
      <xdr:rowOff>152400</xdr:rowOff>
    </xdr:from>
    <xdr:ext cx="542925" cy="53340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43300" y="10125075"/>
          <a:ext cx="54292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247650</xdr:colOff>
      <xdr:row>10</xdr:row>
      <xdr:rowOff>161925</xdr:rowOff>
    </xdr:from>
    <xdr:ext cx="466725" cy="5429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10</xdr:row>
      <xdr:rowOff>152400</xdr:rowOff>
    </xdr:from>
    <xdr:ext cx="466725" cy="542925"/>
    <xdr:pic>
      <xdr:nvPicPr>
        <xdr:cNvPr id="4" name="image6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10</xdr:row>
      <xdr:rowOff>180975</xdr:rowOff>
    </xdr:from>
    <xdr:ext cx="447675" cy="542925"/>
    <xdr:pic>
      <xdr:nvPicPr>
        <xdr:cNvPr id="5" name="image1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200025</xdr:colOff>
      <xdr:row>12</xdr:row>
      <xdr:rowOff>161925</xdr:rowOff>
    </xdr:from>
    <xdr:ext cx="600075" cy="5429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438150</xdr:colOff>
      <xdr:row>12</xdr:row>
      <xdr:rowOff>152400</xdr:rowOff>
    </xdr:from>
    <xdr:ext cx="609600" cy="542925"/>
    <xdr:pic>
      <xdr:nvPicPr>
        <xdr:cNvPr id="7" name="image1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609600</xdr:colOff>
      <xdr:row>12</xdr:row>
      <xdr:rowOff>161925</xdr:rowOff>
    </xdr:from>
    <xdr:ext cx="457200" cy="542925"/>
    <xdr:pic>
      <xdr:nvPicPr>
        <xdr:cNvPr id="8" name="image1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219075</xdr:colOff>
      <xdr:row>30</xdr:row>
      <xdr:rowOff>133350</xdr:rowOff>
    </xdr:from>
    <xdr:ext cx="495300" cy="542925"/>
    <xdr:pic>
      <xdr:nvPicPr>
        <xdr:cNvPr id="9" name="image15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647700</xdr:colOff>
      <xdr:row>30</xdr:row>
      <xdr:rowOff>95250</xdr:rowOff>
    </xdr:from>
    <xdr:ext cx="495300" cy="542925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352425</xdr:colOff>
      <xdr:row>30</xdr:row>
      <xdr:rowOff>123825</xdr:rowOff>
    </xdr:from>
    <xdr:ext cx="476250" cy="542925"/>
    <xdr:pic>
      <xdr:nvPicPr>
        <xdr:cNvPr id="11" name="image1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533400</xdr:colOff>
      <xdr:row>13</xdr:row>
      <xdr:rowOff>161925</xdr:rowOff>
    </xdr:from>
    <xdr:ext cx="447675" cy="54292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276225</xdr:colOff>
      <xdr:row>13</xdr:row>
      <xdr:rowOff>104775</xdr:rowOff>
    </xdr:from>
    <xdr:ext cx="447675" cy="542925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361950</xdr:colOff>
      <xdr:row>13</xdr:row>
      <xdr:rowOff>123825</xdr:rowOff>
    </xdr:from>
    <xdr:ext cx="447675" cy="542925"/>
    <xdr:pic>
      <xdr:nvPicPr>
        <xdr:cNvPr id="14" name="image5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28</xdr:row>
      <xdr:rowOff>123825</xdr:rowOff>
    </xdr:from>
    <xdr:ext cx="523875" cy="533400"/>
    <xdr:pic>
      <xdr:nvPicPr>
        <xdr:cNvPr id="15" name="image7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28</xdr:row>
      <xdr:rowOff>190500</xdr:rowOff>
    </xdr:from>
    <xdr:ext cx="552450" cy="533400"/>
    <xdr:pic>
      <xdr:nvPicPr>
        <xdr:cNvPr id="16" name="image10.png">
          <a:extLst>
            <a:ext uri="{FF2B5EF4-FFF2-40B4-BE49-F238E27FC236}">
              <a16:creationId xmlns:a16="http://schemas.microsoft.com/office/drawing/2014/main" id="{00000000-0008-0000-0000-000010000000}"/>
            </a:ext>
            <a:ext uri="{147F2762-F138-4A5C-976F-8EAC2B608ADB}">
              <a16:predDERef xmlns:a16="http://schemas.microsoft.com/office/drawing/2014/main" pre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05375" y="10163175"/>
          <a:ext cx="552450" cy="5334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1389529</xdr:colOff>
      <xdr:row>3</xdr:row>
      <xdr:rowOff>178173</xdr:rowOff>
    </xdr:from>
    <xdr:to>
      <xdr:col>6</xdr:col>
      <xdr:colOff>3765175</xdr:colOff>
      <xdr:row>28</xdr:row>
      <xdr:rowOff>119529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C2AC4D-226B-427F-946E-A13A0A1CB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487829</xdr:colOff>
      <xdr:row>4</xdr:row>
      <xdr:rowOff>102721</xdr:rowOff>
    </xdr:from>
    <xdr:to>
      <xdr:col>1</xdr:col>
      <xdr:colOff>1158688</xdr:colOff>
      <xdr:row>18</xdr:row>
      <xdr:rowOff>107387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QUIPO">
              <a:extLst>
                <a:ext uri="{FF2B5EF4-FFF2-40B4-BE49-F238E27FC236}">
                  <a16:creationId xmlns:a16="http://schemas.microsoft.com/office/drawing/2014/main" id="{284F3564-5577-2220-73F7-F797428932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829" y="837432"/>
              <a:ext cx="1825404" cy="25761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5.375959143516" createdVersion="8" refreshedVersion="8" minRefreshableVersion="3" recordCount="142" xr:uid="{55F78DFB-2814-434A-A177-7BBC7B762691}">
  <cacheSource type="worksheet">
    <worksheetSource name="tbl_BasePowerBI[[EQUIPO]:[VALOR DE LA PROPUESTA]]"/>
  </cacheSource>
  <cacheFields count="23">
    <cacheField name="EQUIPO" numFmtId="0">
      <sharedItems count="8">
        <s v="ALIANZAS"/>
        <s v="PRODUCTOS GENERALES"/>
        <s v="N1"/>
        <s v="N2"/>
        <s v="N3"/>
        <s v="N4"/>
        <s v="N5"/>
        <s v="GENERAL" u="1"/>
      </sharedItems>
    </cacheField>
    <cacheField name="NOMBRE EJECUTIVO" numFmtId="0">
      <sharedItems count="38">
        <s v="ALIANZAS"/>
        <s v="PRODUCTOS GENERALES"/>
        <s v="Andrea Morales"/>
        <s v="Diana Contreras Rodriguez"/>
        <s v="Rosa Diaz"/>
        <s v="Felipe Guillen"/>
        <s v="Carolina Diaz"/>
        <s v="Andrea Morales "/>
        <s v="Natalia Zambrano"/>
        <s v="Camilo Prada"/>
        <s v="Luisa Escobar"/>
        <s v="Lina Lemus"/>
        <s v="Helen Fajardo"/>
        <s v="Hugo Urrea"/>
        <s v="Sofia Calvera"/>
        <s v="Elsa Cortez"/>
        <s v="Laura Melo"/>
        <s v="Diana Andrea Rodiguez"/>
        <s v="Diana Andrea Rodriguez"/>
        <s v="Laura Calvera "/>
        <s v="Nicole Hincapie"/>
        <s v="Gina Tinjacá"/>
        <s v="Karen Perez"/>
        <s v="Valentina Párraga"/>
        <s v="Mauricio Agudelo"/>
        <s v="Luis López"/>
        <s v="Luz Karime Hernandez"/>
        <s v="Ana Maria Castañeda"/>
        <s v="Carol Beltan "/>
        <s v="Raul Herrera "/>
        <s v="Jaidy Morales" u="1"/>
        <s v="Diana Rodriguez" u="1"/>
        <s v="GENERAL" u="1"/>
        <s v="Andres Guillem" u="1"/>
        <s v="Carolina Diaz " u="1"/>
        <s v="TATIANA PELAEZ" u="1"/>
        <s v="Ivonne Moriones " u="1"/>
        <s v="WILLIAM OCAMPO" u="1"/>
      </sharedItems>
    </cacheField>
    <cacheField name="CUENTA" numFmtId="0">
      <sharedItems/>
    </cacheField>
    <cacheField name="VENTA ESTIMADA" numFmtId="166">
      <sharedItems containsMixedTypes="1" containsNumber="1" containsInteger="1" minValue="0" maxValue="200000000"/>
    </cacheField>
    <cacheField name="NECESIDAD 1" numFmtId="0">
      <sharedItems containsBlank="1"/>
    </cacheField>
    <cacheField name="NECESIDAD 2" numFmtId="0">
      <sharedItems containsNonDate="0" containsString="0" containsBlank="1"/>
    </cacheField>
    <cacheField name="NECESIDAD 3" numFmtId="0">
      <sharedItems containsNonDate="0" containsString="0" containsBlank="1"/>
    </cacheField>
    <cacheField name="PLAN DE ACCIÓN 1" numFmtId="0">
      <sharedItems/>
    </cacheField>
    <cacheField name="AVANCE PLAN 1" numFmtId="0">
      <sharedItems containsString="0" containsBlank="1" containsNumber="1" containsInteger="1" minValue="0" maxValue="100"/>
    </cacheField>
    <cacheField name="PLAN DE ACCIÓN 2" numFmtId="0">
      <sharedItems containsBlank="1"/>
    </cacheField>
    <cacheField name="AVANCE PLAN 2" numFmtId="1">
      <sharedItems containsString="0" containsBlank="1" containsNumber="1" containsInteger="1" minValue="0" maxValue="100"/>
    </cacheField>
    <cacheField name="PLAN DE ACCIÓN 3" numFmtId="0">
      <sharedItems containsBlank="1"/>
    </cacheField>
    <cacheField name="AVANCE PLAN 3" numFmtId="1">
      <sharedItems containsString="0" containsBlank="1" containsNumber="1" containsInteger="1" minValue="0" maxValue="100"/>
    </cacheField>
    <cacheField name="OPORTUNIDAD" numFmtId="0">
      <sharedItems containsBlank="1"/>
    </cacheField>
    <cacheField name="ESTADO" numFmtId="0">
      <sharedItems count="5">
        <s v="En seguimiento"/>
        <s v="Por Mejorar"/>
        <s v="Cerrada"/>
        <s v="no aprobada"/>
        <s v="Por cerrar"/>
      </sharedItems>
    </cacheField>
    <cacheField name="CLAVE" numFmtId="0">
      <sharedItems/>
    </cacheField>
    <cacheField name="PRIORIDAD" numFmtId="0">
      <sharedItems containsBlank="1"/>
    </cacheField>
    <cacheField name="RESPONSABLE" numFmtId="0">
      <sharedItems/>
    </cacheField>
    <cacheField name="MES" numFmtId="0">
      <sharedItems containsBlank="1"/>
    </cacheField>
    <cacheField name="FECHA SOLICITUD" numFmtId="14">
      <sharedItems containsNonDate="0" containsDate="1" containsString="0" containsBlank="1" minDate="2026-05-26T00:00:00" maxDate="2026-08-19T00:00:00"/>
    </cacheField>
    <cacheField name="FECHA DE ENTREGA" numFmtId="14">
      <sharedItems containsNonDate="0" containsDate="1" containsString="0" containsBlank="1" minDate="2026-06-01T00:00:00" maxDate="2026-08-21T00:00:00"/>
    </cacheField>
    <cacheField name="LINK DE PRESENTACION" numFmtId="0">
      <sharedItems containsBlank="1" longText="1"/>
    </cacheField>
    <cacheField name="VALOR DE LA PROPUESTA" numFmtId="166">
      <sharedItems containsString="0" containsBlank="1" containsNumber="1" containsInteger="1" minValue="0" maxValue="200000000"/>
    </cacheField>
  </cacheFields>
  <extLst>
    <ext xmlns:x14="http://schemas.microsoft.com/office/spreadsheetml/2009/9/main" uri="{725AE2AE-9491-48be-B2B4-4EB974FC3084}">
      <x14:pivotCacheDefinition pivotCacheId="302660054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x v="0"/>
    <x v="0"/>
    <s v="DISQUERAS - TIQUETERAS"/>
    <n v="10000000"/>
    <s v="PROPUESTA DIGITAL PARA DISQUERAS, EVENTOS Y TIQUETERAS - FRANQUICIAS"/>
    <m/>
    <m/>
    <s v="GENERAR PROPUESTA COMERCIAL"/>
    <n v="100"/>
    <s v="ENTREGAR PROPUESTA"/>
    <n v="100"/>
    <s v="SIN CAMBIOS"/>
    <n v="50"/>
    <m/>
    <x v="0"/>
    <s v="ALIANZAS|En seguimiento"/>
    <s v="Media"/>
    <s v="ALIANZAS"/>
    <s v="JUNIO"/>
    <d v="2026-06-03T00:00:00"/>
    <d v="2026-06-03T00:00:00"/>
    <s v="PRODUCTO DIGITAL-FRANQUICIAS-MÚSICA EN MOVIMIENTO.pptx"/>
    <n v="10000000"/>
  </r>
  <r>
    <x v="0"/>
    <x v="0"/>
    <s v="FRANQUICIAS "/>
    <n v="10000000"/>
    <s v="PROPUESTA DE FRANQUICIAS PARA EVENTOS "/>
    <m/>
    <m/>
    <s v="GENERAR PROPUESTA COMERCIAL"/>
    <n v="100"/>
    <s v="ENTREGAR PROPUESTA"/>
    <n v="100"/>
    <s v="SIN CAMBIOS"/>
    <n v="50"/>
    <m/>
    <x v="0"/>
    <s v="ALIANZAS|En seguimiento"/>
    <s v="Media"/>
    <s v="ALIANZAS"/>
    <s v="JUNIO"/>
    <d v="2026-06-03T00:00:00"/>
    <d v="2026-06-03T00:00:00"/>
    <s v="PRODUCTO DIGITAL-DEL PLAY AL SHOW.pptx"/>
    <n v="10000000"/>
  </r>
  <r>
    <x v="1"/>
    <x v="1"/>
    <s v="FRANQUICIAS "/>
    <n v="20000000"/>
    <s v="PROPUESTA DE FRANQUICIAS POR RUBROS"/>
    <m/>
    <m/>
    <s v="GENERAR PROPUESTA COMERCIAL"/>
    <n v="100"/>
    <s v="ENTREGAR PROPUESTA"/>
    <n v="100"/>
    <s v="SIN CAMBIOS "/>
    <n v="100"/>
    <m/>
    <x v="0"/>
    <s v="PRODUCTOS GENERALES|En seguimiento"/>
    <s v="Media"/>
    <s v="PRODUCTOS GENERALES"/>
    <s v="JUNIO"/>
    <d v="2026-06-01T00:00:00"/>
    <d v="2026-06-01T00:00:00"/>
    <s v="FRANQUICIAS PRISA.pptx"/>
    <n v="20000000"/>
  </r>
  <r>
    <x v="1"/>
    <x v="1"/>
    <s v="FRANQUICIAS "/>
    <n v="20000000"/>
    <s v="PROPUESTA DE FRANQUICIAS POR PAQUETES "/>
    <m/>
    <m/>
    <s v="GENERAR PROPUESTA COMERCIAL"/>
    <n v="100"/>
    <s v="ENTREGAR PROPUESTA"/>
    <n v="100"/>
    <s v="SIN CAMBIOS "/>
    <n v="100"/>
    <m/>
    <x v="0"/>
    <s v="PRODUCTOS GENERALES|En seguimiento"/>
    <s v="Media"/>
    <s v="PRODUCTOS GENERALES"/>
    <s v="JUNIO"/>
    <d v="2026-06-01T00:00:00"/>
    <d v="2026-06-01T00:00:00"/>
    <s v="Producto_Digital_FRANQUICIAS PRISA 2026.pptx"/>
    <n v="20000000"/>
  </r>
  <r>
    <x v="1"/>
    <x v="1"/>
    <s v="ELECCIONES 2026"/>
    <n v="20000000"/>
    <s v="PROPUESTA ELECCIONES 2026"/>
    <m/>
    <m/>
    <s v="GENERAR PROPUESTA COMERCIAL"/>
    <n v="100"/>
    <s v="ENTREGAR PROPUESTA"/>
    <n v="100"/>
    <s v="SIN CAMBIOS "/>
    <n v="100"/>
    <m/>
    <x v="0"/>
    <s v="PRODUCTOS GENERALES|En seguimiento"/>
    <s v="Media"/>
    <s v="PRODUCTOS GENERALES"/>
    <s v="JUNIO"/>
    <d v="2026-06-01T00:00:00"/>
    <d v="2026-06-01T00:00:00"/>
    <s v="PRODUCTO DIGITAL-ELECCIONES 2026.pptx"/>
    <n v="20000000"/>
  </r>
  <r>
    <x v="1"/>
    <x v="1"/>
    <s v="PRODUCTOS GENERALES"/>
    <n v="20000000"/>
    <s v="PROPUESTA DIGITAL LA RUTA DEL GOL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s v="PRODUCTO DIGITAL-LA RUTA DEL GOL.pptx"/>
    <n v="20000000"/>
  </r>
  <r>
    <x v="1"/>
    <x v="1"/>
    <s v="PRODUCTOS GENERALES"/>
    <n v="20000000"/>
    <s v="PROPUESTA DE FRANQUICIAS MUNDIAL 2026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s v="Producto_Digital_FRANQUICIA MUNDIALISTA.pptx"/>
    <n v="20000000"/>
  </r>
  <r>
    <x v="1"/>
    <x v="1"/>
    <s v="PRODUCTOS GENERALES"/>
    <n v="20000000"/>
    <s v="PROPUESTA DIGITAL BEAUTY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s v="Producto_Digital_Universo Beauty.pptx"/>
    <n v="20000000"/>
  </r>
  <r>
    <x v="1"/>
    <x v="1"/>
    <s v="PRODUCTOS GENERALES"/>
    <n v="20000000"/>
    <s v="PROPUESTA DIGITAL CONSTRUCTORAS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s v="Producto_Digital_LIVING EXPERIENCE.pptx"/>
    <n v="20000000"/>
  </r>
  <r>
    <x v="1"/>
    <x v="1"/>
    <s v="PRODUCTOS GENERALES"/>
    <n v="20000000"/>
    <s v="PROPUESTA DIGITAL SHOPPABLE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m/>
    <n v="20000000"/>
  </r>
  <r>
    <x v="1"/>
    <x v="1"/>
    <s v="PRODUCTOS GENERALES"/>
    <n v="20000000"/>
    <s v="PROPUESTA  DIGITAL TECNOLOGIA DNS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s v="Producto_Digital_RADIO INTERACTIVO.pptx"/>
    <n v="20000000"/>
  </r>
  <r>
    <x v="1"/>
    <x v="1"/>
    <s v="PRODUCTOS GENERALES"/>
    <n v="20000000"/>
    <s v="DESARROLO DE AGENTE DE IA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m/>
    <n v="20000000"/>
  </r>
  <r>
    <x v="1"/>
    <x v="1"/>
    <s v="CONEXIÓN PRISA"/>
    <n v="20000000"/>
    <s v="CONEXIÓN PRISA_x000a_UNA DINÁMICA COMERCIAL QUE PRESENTA PRODUCTOS DIGITALES EXCLUSIVOS PARA CADA RUBRO, IMPULSANDO OPORTUNIDADES DE NEGOCIO EN TIEMPO REAL."/>
    <m/>
    <m/>
    <s v="Entregar la propuesta digital al area comercial"/>
    <n v="100"/>
    <s v="Seguimiento – Evento 22 de julio"/>
    <n v="50"/>
    <s v="SIN CAMBIOS"/>
    <m/>
    <m/>
    <x v="0"/>
    <s v="PRODUCTOS GENERALES|En seguimiento"/>
    <s v="Alta"/>
    <s v="PRODUCTOS GENERALES"/>
    <s v="JULIO"/>
    <d v="2026-07-06T00:00:00"/>
    <d v="2026-07-06T00:00:00"/>
    <s v="Producto_Digital-CONEXIÓN PRISA.pptx"/>
    <n v="20000000"/>
  </r>
  <r>
    <x v="2"/>
    <x v="2"/>
    <s v="MANTEQUILLA LA BUENA"/>
    <n v="40000000"/>
    <s v="PROPUESTA CAPSULAS FRANQUICIAS - PROBANDO PROBANDO Y CHICAS EN SU SALSA"/>
    <m/>
    <m/>
    <s v="GENERAR PROPUESTA COMERCIAL"/>
    <n v="100"/>
    <s v="ENTREGAR PROPUESTA"/>
    <n v="100"/>
    <s v="SIN CAMBIOS"/>
    <n v="50"/>
    <m/>
    <x v="0"/>
    <s v="N1|En seguimiento"/>
    <s v="Media"/>
    <s v="Andrea Morales"/>
    <s v="JUNIO"/>
    <d v="2026-06-22T00:00:00"/>
    <d v="2026-07-22T00:00:00"/>
    <s v="PRODUCTO DIGITAL - LA BUENA.pptx"/>
    <n v="42014863"/>
  </r>
  <r>
    <x v="2"/>
    <x v="3"/>
    <s v="YALE"/>
    <n v="0"/>
    <s v="DESARROLO DE PROPUESTA DIGITAL"/>
    <m/>
    <m/>
    <s v="GENERAR PROPUESTA COMERCIAL"/>
    <m/>
    <m/>
    <m/>
    <m/>
    <m/>
    <m/>
    <x v="1"/>
    <s v="N1|Por Mejorar"/>
    <s v="Alta"/>
    <s v="Diana Contreras Rodriguez"/>
    <m/>
    <m/>
    <m/>
    <m/>
    <n v="0"/>
  </r>
  <r>
    <x v="2"/>
    <x v="4"/>
    <s v="CAFAM"/>
    <n v="0"/>
    <s v="DESARROLO DE PROPUESTA DIGITAL"/>
    <m/>
    <m/>
    <s v="GENERAR PROPUESTA COMERCIAL"/>
    <m/>
    <m/>
    <m/>
    <m/>
    <m/>
    <m/>
    <x v="1"/>
    <s v="N1|Por Mejorar"/>
    <s v="Alta"/>
    <s v="Rosa Diaz"/>
    <m/>
    <m/>
    <m/>
    <m/>
    <n v="0"/>
  </r>
  <r>
    <x v="2"/>
    <x v="4"/>
    <s v="KOALA"/>
    <n v="0"/>
    <s v="DESARROLO DE PROPUESTA DIGITAL"/>
    <m/>
    <m/>
    <s v="GENERAR PROPUESTA COMERCIAL"/>
    <m/>
    <m/>
    <m/>
    <m/>
    <m/>
    <m/>
    <x v="1"/>
    <s v="N1|Por Mejorar"/>
    <s v="Alta"/>
    <s v="Rosa Diaz"/>
    <m/>
    <m/>
    <m/>
    <m/>
    <n v="0"/>
  </r>
  <r>
    <x v="2"/>
    <x v="4"/>
    <s v="NISSAN"/>
    <n v="50000000"/>
    <s v="DESARROLO DE PROPUESTA DIGITAL"/>
    <m/>
    <m/>
    <s v="GENERAR PROPUESTA COMERCIAL"/>
    <n v="100"/>
    <s v="ENTREGAR PROPUESTA"/>
    <n v="100"/>
    <m/>
    <m/>
    <m/>
    <x v="0"/>
    <s v="N1|En seguimiento"/>
    <s v="Alta"/>
    <s v="Rosa Diaz"/>
    <s v="JULIO"/>
    <d v="2026-07-21T00:00:00"/>
    <d v="2026-07-30T00:00:00"/>
    <s v="https://grupoprisa-my.sharepoint.com/:p:/g/personal/juangodoy_est_caracol_com_co/IQCYkmJrdbInS4u8M93JA0qcAZGDL-39y8dP9-zxG8YRQ3k"/>
    <n v="58000000"/>
  </r>
  <r>
    <x v="2"/>
    <x v="4"/>
    <s v="CHANGAN"/>
    <n v="50000000"/>
    <s v="DESARROLO DE PROPUESTA DIGITAL"/>
    <m/>
    <m/>
    <s v="GENERAR PROPUESTA COMERCIAL"/>
    <n v="100"/>
    <s v="ENTREGAR PROPUESTA"/>
    <n v="100"/>
    <m/>
    <m/>
    <m/>
    <x v="0"/>
    <s v="N1|En seguimiento"/>
    <s v="Alta"/>
    <s v="Rosa Diaz"/>
    <s v="JULIO"/>
    <d v="2026-07-21T00:00:00"/>
    <d v="2026-07-30T00:00:00"/>
    <s v="https://grupoprisa-my.sharepoint.com/:p:/g/personal/juangodoy_est_caracol_com_co/IQCHxe3NSSkMSpsZDwFQ5LU5Ac7jtZiYMDl8eyyLQMcBTDw"/>
    <n v="58000000"/>
  </r>
  <r>
    <x v="2"/>
    <x v="4"/>
    <s v="PORCHE"/>
    <n v="0"/>
    <s v="DESARROLO DE PROPUESTA DIGITAL"/>
    <m/>
    <m/>
    <s v="GENERAR PROPUESTA COMERCIAL"/>
    <m/>
    <m/>
    <m/>
    <m/>
    <m/>
    <m/>
    <x v="1"/>
    <s v="N1|Por Mejorar"/>
    <s v="Alta"/>
    <s v="Rosa Diaz"/>
    <m/>
    <m/>
    <m/>
    <m/>
    <n v="0"/>
  </r>
  <r>
    <x v="2"/>
    <x v="5"/>
    <s v="SAMSUNG"/>
    <n v="0"/>
    <s v="DESARROLO DE PROPUESTA DIGITAL"/>
    <m/>
    <m/>
    <s v="GENERAR PROPUESTA COMERCIAL"/>
    <m/>
    <m/>
    <m/>
    <m/>
    <m/>
    <m/>
    <x v="1"/>
    <s v="N1|Por Mejorar"/>
    <s v="Alta"/>
    <s v="Felipe Guillen"/>
    <m/>
    <m/>
    <m/>
    <m/>
    <n v="0"/>
  </r>
  <r>
    <x v="2"/>
    <x v="3"/>
    <s v="PLEXI"/>
    <n v="0"/>
    <s v="DESARROLO DE PROPUESTA DIGITAL"/>
    <m/>
    <m/>
    <s v="GENERAR PROPUESTA COMERCIAL"/>
    <m/>
    <m/>
    <m/>
    <m/>
    <m/>
    <m/>
    <x v="1"/>
    <s v="N1|Por Mejorar"/>
    <s v="Alta"/>
    <s v="Diana Contreras Rodriguez"/>
    <m/>
    <m/>
    <m/>
    <m/>
    <n v="0"/>
  </r>
  <r>
    <x v="2"/>
    <x v="5"/>
    <s v="PRIMAX"/>
    <n v="0"/>
    <s v="DESARROLO DE PROPUESTA DIGITAL"/>
    <m/>
    <m/>
    <s v="GENERAR PROPUESTA COMERCIAL"/>
    <m/>
    <m/>
    <m/>
    <m/>
    <m/>
    <m/>
    <x v="1"/>
    <s v="N1|Por Mejorar"/>
    <s v="Alta"/>
    <s v="Felipe Guillen"/>
    <m/>
    <m/>
    <m/>
    <m/>
    <n v="0"/>
  </r>
  <r>
    <x v="2"/>
    <x v="6"/>
    <s v="COLSANITAS"/>
    <n v="30000000"/>
    <s v="DESARROLO DE PROPUESTA DIGITAL"/>
    <m/>
    <m/>
    <s v="GENERAR PROPUESTA COMERCIAL"/>
    <m/>
    <s v="SE DESARROLLO UNA PROPUESTA PARA MUNDO COLSANITAS (PODCAST, CHAT IA)"/>
    <n v="100"/>
    <s v="REALIZAR SEGUIMIENTO A LA PROPUESTA PARA CONOCER SU ESTADO, CONFIRMAR SI SE CONCRETÓ EL CIERRE E IDENTIFICAR OPORTUNIDADES DE MEJORA."/>
    <n v="50"/>
    <m/>
    <x v="0"/>
    <s v="N1|En seguimiento"/>
    <s v="Alta"/>
    <s v="Carolina Diaz"/>
    <s v="AGOSTO"/>
    <d v="2026-08-13T00:00:00"/>
    <d v="2026-08-20T00:00:00"/>
    <m/>
    <n v="30000000"/>
  </r>
  <r>
    <x v="2"/>
    <x v="6"/>
    <s v="PROSEGURO"/>
    <n v="0"/>
    <s v="DESARROLO DE PROPUESTA DIGITAL"/>
    <m/>
    <m/>
    <s v="GENERAR PROPUESTA COMERCIAL"/>
    <m/>
    <m/>
    <m/>
    <m/>
    <m/>
    <m/>
    <x v="1"/>
    <s v="N1|Por Mejorar"/>
    <s v="Alta"/>
    <s v="Carolina Diaz"/>
    <m/>
    <m/>
    <m/>
    <m/>
    <n v="0"/>
  </r>
  <r>
    <x v="2"/>
    <x v="6"/>
    <s v="KELLOGS"/>
    <n v="0"/>
    <s v="DESARROLO DE PROPUESTA DIGITAL"/>
    <m/>
    <m/>
    <s v="GENERAR PROPUESTA COMERCIAL"/>
    <m/>
    <m/>
    <m/>
    <m/>
    <m/>
    <m/>
    <x v="1"/>
    <s v="N1|Por Mejorar"/>
    <s v="Alta"/>
    <s v="Carolina Diaz"/>
    <m/>
    <m/>
    <m/>
    <m/>
    <n v="0"/>
  </r>
  <r>
    <x v="2"/>
    <x v="6"/>
    <s v="AJINOMOTO"/>
    <n v="0"/>
    <s v="DESARROLO DE PROPUESTA DIGITAL"/>
    <m/>
    <m/>
    <s v="GENERAR PROPUESTA COMERCIAL"/>
    <m/>
    <m/>
    <m/>
    <m/>
    <m/>
    <m/>
    <x v="1"/>
    <s v="N1|Por Mejorar"/>
    <s v="Alta"/>
    <s v="Carolina Diaz"/>
    <m/>
    <m/>
    <m/>
    <m/>
    <n v="0"/>
  </r>
  <r>
    <x v="2"/>
    <x v="3"/>
    <s v="KNORR"/>
    <n v="0"/>
    <s v="DESARROLO DE PROPUESTA DIGITAL"/>
    <m/>
    <m/>
    <s v="GENERAR PROPUESTA COMERCIAL"/>
    <m/>
    <m/>
    <m/>
    <m/>
    <m/>
    <m/>
    <x v="1"/>
    <s v="N1|Por Mejorar"/>
    <s v="Alta"/>
    <s v="Diana Contreras Rodriguez"/>
    <m/>
    <m/>
    <m/>
    <m/>
    <n v="0"/>
  </r>
  <r>
    <x v="2"/>
    <x v="6"/>
    <s v="SUPERMERCADO MAKRO"/>
    <n v="0"/>
    <s v="DESARROLO DE PROPUESTA DIGITAL"/>
    <m/>
    <m/>
    <s v="GENERAR PROPUESTA COMERCIAL"/>
    <m/>
    <m/>
    <m/>
    <m/>
    <m/>
    <m/>
    <x v="1"/>
    <s v="N1|Por Mejorar"/>
    <s v="Alta"/>
    <s v="Carolina Diaz"/>
    <m/>
    <m/>
    <m/>
    <m/>
    <n v="0"/>
  </r>
  <r>
    <x v="2"/>
    <x v="2"/>
    <s v="CASA LUKER"/>
    <n v="285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1|En seguimiento"/>
    <s v="Alta"/>
    <s v="Andrea Morales"/>
    <s v="JULIO"/>
    <d v="2026-07-08T00:00:00"/>
    <d v="2026-07-08T00:00:00"/>
    <m/>
    <n v="28500000"/>
  </r>
  <r>
    <x v="2"/>
    <x v="7"/>
    <s v="ALQUERIA"/>
    <n v="34000000"/>
    <s v="FRANQUICIA - LA MIL OFICIOS Y SE LO EXPLICO CON EXPERTOS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1|En seguimiento"/>
    <s v="Media"/>
    <s v="Andrea Morales"/>
    <s v="JULIO"/>
    <d v="2026-08-04T00:00:00"/>
    <d v="2026-08-05T00:00:00"/>
    <m/>
    <n v="34000000"/>
  </r>
  <r>
    <x v="2"/>
    <x v="2"/>
    <s v="VOLVO"/>
    <n v="0"/>
    <s v="DESARROLO DE PROPUESTA DIGITAL"/>
    <m/>
    <m/>
    <s v="GENERAR PROPUESTA COMERCIAL"/>
    <m/>
    <m/>
    <m/>
    <m/>
    <m/>
    <m/>
    <x v="1"/>
    <s v="N1|Por Mejorar"/>
    <s v="Alta"/>
    <s v="Andrea Morales"/>
    <m/>
    <m/>
    <m/>
    <m/>
    <n v="0"/>
  </r>
  <r>
    <x v="2"/>
    <x v="2"/>
    <s v="CAJA SOCIAL"/>
    <n v="0"/>
    <s v="DESARROLO DE PROPUESTA DIGITAL"/>
    <m/>
    <m/>
    <s v="GENERAR PROPUESTA COMERCIAL"/>
    <m/>
    <m/>
    <m/>
    <m/>
    <m/>
    <m/>
    <x v="1"/>
    <s v="N1|Por Mejorar"/>
    <s v="Alta"/>
    <s v="Andrea Morales"/>
    <m/>
    <m/>
    <m/>
    <m/>
    <n v="0"/>
  </r>
  <r>
    <x v="2"/>
    <x v="8"/>
    <s v="RAMO"/>
    <n v="0"/>
    <s v="DESARROLO DE PROPUESTA DIGITAL"/>
    <m/>
    <m/>
    <s v="GENERAR PROPUESTA COMERCIAL"/>
    <m/>
    <m/>
    <m/>
    <m/>
    <m/>
    <m/>
    <x v="1"/>
    <s v="N1|Por Mejorar"/>
    <s v="Alta"/>
    <s v="Natalia Zambrano"/>
    <m/>
    <m/>
    <m/>
    <m/>
    <n v="0"/>
  </r>
  <r>
    <x v="2"/>
    <x v="8"/>
    <s v="SPOTIFY"/>
    <n v="0"/>
    <s v="DESARROLO DE PROPUESTA DIGITAL"/>
    <m/>
    <m/>
    <s v="GENERAR PROPUESTA COMERCIAL"/>
    <m/>
    <m/>
    <m/>
    <m/>
    <m/>
    <m/>
    <x v="1"/>
    <s v="N1|Por Mejorar"/>
    <s v="Alta"/>
    <s v="Natalia Zambrano"/>
    <m/>
    <m/>
    <m/>
    <m/>
    <n v="0"/>
  </r>
  <r>
    <x v="2"/>
    <x v="5"/>
    <s v="DON JULIO"/>
    <n v="15000000"/>
    <s v="Ruta del gol"/>
    <m/>
    <m/>
    <s v="se paso la propuesta ruta del gol"/>
    <n v="100"/>
    <s v="acaptaron la propuesta"/>
    <n v="100"/>
    <s v="La propuesta fue aprobada por el cliente. Actualmente nos encontramos a la espera de su ejecución."/>
    <n v="100"/>
    <m/>
    <x v="2"/>
    <s v="N1|Cerrada"/>
    <m/>
    <s v="Felipe Guillen"/>
    <s v="JUNIO"/>
    <d v="2026-06-25T00:00:00"/>
    <d v="2026-06-25T00:00:00"/>
    <s v="PRODUCTO DIGITAL-LA RUTA DEL GOL.pptx"/>
    <n v="32000000"/>
  </r>
  <r>
    <x v="2"/>
    <x v="2"/>
    <s v="ARTURO CALLE"/>
    <n v="50000000"/>
    <s v="DESARROLO DE PROPUESTA DIGITAL - FRANQUICIA PLAZA ALVIRA"/>
    <m/>
    <m/>
    <s v="Entregar la propuesta digital y su valorización al ejecutivo correspondiente."/>
    <n v="100"/>
    <s v="no aprobado por el cliente "/>
    <n v="100"/>
    <s v="en seguimiento "/>
    <n v="50"/>
    <m/>
    <x v="0"/>
    <s v="N1|En seguimiento"/>
    <s v="Alta"/>
    <s v="Andrea Morales"/>
    <s v="JULIO"/>
    <d v="2026-07-02T00:00:00"/>
    <d v="2026-07-02T00:00:00"/>
    <s v="EL TOUR DEL ESTILO.pptx"/>
    <n v="76000000"/>
  </r>
  <r>
    <x v="2"/>
    <x v="6"/>
    <s v="ADIDAS"/>
    <n v="3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1|En seguimiento"/>
    <s v="Media"/>
    <s v="Carolina Diaz"/>
    <s v="JULIO"/>
    <d v="2026-07-09T00:00:00"/>
    <d v="2026-07-09T00:00:00"/>
    <s v="PROPUESTA ADIDAS.pptx"/>
    <n v="39000000"/>
  </r>
  <r>
    <x v="2"/>
    <x v="6"/>
    <s v="HONOR"/>
    <n v="40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s v="no aprobada por el cliente"/>
    <n v="100"/>
    <m/>
    <x v="3"/>
    <s v="N1|no aprobada"/>
    <s v="Media"/>
    <s v="Carolina Diaz"/>
    <s v="JULIO"/>
    <d v="2026-07-09T00:00:00"/>
    <d v="2026-07-09T00:00:00"/>
    <s v="PROPUESTA COMERCIAL HONOR.pptx"/>
    <n v="39420000"/>
  </r>
  <r>
    <x v="2"/>
    <x v="6"/>
    <s v="NIKE"/>
    <n v="3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1|En seguimiento"/>
    <s v="Media"/>
    <s v="Carolina Diaz"/>
    <s v="JULIO"/>
    <d v="2026-07-10T00:00:00"/>
    <d v="2026-07-10T00:00:00"/>
    <s v="PROPUESTA NIKE.pptx"/>
    <n v="39000000"/>
  </r>
  <r>
    <x v="2"/>
    <x v="8"/>
    <s v="AMAZON"/>
    <n v="30000000"/>
    <s v="DESARROLO DE PROPUESTA DIGITAL - FRANQUICIA TECNOLOGIA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n v="50"/>
    <m/>
    <x v="0"/>
    <s v="N1|En seguimiento"/>
    <s v="Media"/>
    <s v="Natalia Zambrano"/>
    <s v="JULIO"/>
    <d v="2026-07-10T00:00:00"/>
    <d v="2026-07-10T00:00:00"/>
    <s v="PROPUESTA AMAZON ECOMMERCE.pptx"/>
    <n v="32600000"/>
  </r>
  <r>
    <x v="3"/>
    <x v="9"/>
    <s v="COLFONDOS S.A. PENSIONES Y CESANTIAS"/>
    <s v="$ 92.198.334,00 "/>
    <s v="Tiene un decrecimiento en su participación del mercado de 91%.  Y dejarón de invertir en la radio. FRANQUICIA EN SE LO EXPLICO CON EXPERTOS "/>
    <m/>
    <m/>
    <s v="GENERAR PROPUESTA COMERCIAL - FRANQUICIA SE LO EXPLICO CON EXPERTOS"/>
    <n v="100"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s v="En seguimiento"/>
    <x v="0"/>
    <s v="N2|En seguimiento"/>
    <s v="Media"/>
    <s v="Camilo Prada"/>
    <s v="JUNIO"/>
    <d v="2026-06-04T00:00:00"/>
    <d v="2026-06-23T00:00:00"/>
    <s v="PRODUCTO DIGITAL - COLFONDOS.pptx"/>
    <n v="30000000"/>
  </r>
  <r>
    <x v="3"/>
    <x v="9"/>
    <s v="BIOCOMBUSTIBLES S.A."/>
    <n v="42050587"/>
    <s v="Tiene un cremiento en su participación del mercado de 77%. Radio tiene un crecimiento del 25%. Pero Prisa Media pierde la participación frente a RCN y Radio Polis."/>
    <m/>
    <m/>
    <s v="GENERAR PROPUESTA COMERCIAL "/>
    <n v="100"/>
    <s v="Entregar la propuesta digital y su valorización al ejecutivo correspondiente."/>
    <n v="100"/>
    <s v="Con base en la retroalimentación del cliente, se ajusta la propuesta para la campaña específica y se entrega la versión final para su validación."/>
    <n v="100"/>
    <m/>
    <x v="0"/>
    <s v="N2|En seguimiento"/>
    <s v="Media"/>
    <s v="Camilo Prada"/>
    <s v="JUNIO"/>
    <d v="2026-06-23T00:00:00"/>
    <d v="2026-07-03T00:00:00"/>
    <s v="Producto_Digital-EL MUNDIAL SE JUEGA CON BIOMAX.pptx"/>
    <n v="30000000"/>
  </r>
  <r>
    <x v="3"/>
    <x v="9"/>
    <s v="BEIJING XIAOMI MOBILE SOFTWARE CO LTD"/>
    <n v="24015738"/>
    <s v="Tiene un decrecimiento en su participación dell mercado de 82%.  Y dejarón de invertir en la radio"/>
    <m/>
    <m/>
    <s v="GENERAR PROPUESTA COMERCIAL"/>
    <n v="0"/>
    <m/>
    <n v="0"/>
    <m/>
    <n v="0"/>
    <m/>
    <x v="1"/>
    <s v="N2|Por Mejorar"/>
    <s v="Alta"/>
    <s v="Camilo Prada"/>
    <m/>
    <m/>
    <m/>
    <m/>
    <n v="0"/>
  </r>
  <r>
    <x v="3"/>
    <x v="9"/>
    <s v="FEDERACION NACIONAL DE CULTIVADORES DE PALMA DE ACEITE"/>
    <n v="0"/>
    <s v="Tiene un crecimiento en su participación del mercado de 132%. Pero no tiene participación en la Radio."/>
    <m/>
    <m/>
    <s v="GENERAR PROPUESTA COMERCIAL"/>
    <n v="0"/>
    <m/>
    <n v="0"/>
    <m/>
    <n v="0"/>
    <m/>
    <x v="1"/>
    <s v="N2|Por Mejorar"/>
    <s v="Alta"/>
    <s v="Camilo Prada"/>
    <m/>
    <m/>
    <m/>
    <m/>
    <n v="0"/>
  </r>
  <r>
    <x v="3"/>
    <x v="9"/>
    <s v="LABORATORIOS BUSSIE SA"/>
    <n v="0"/>
    <s v="Tienen un decrecimiento en su participación dell mercado de 69%.  Y tiene toda su participación en Diarios."/>
    <m/>
    <m/>
    <s v="GENERAR PROPUESTA COMERCIAL"/>
    <n v="0"/>
    <m/>
    <n v="0"/>
    <m/>
    <n v="0"/>
    <m/>
    <x v="1"/>
    <s v="N2|Por Mejorar"/>
    <s v="Alta"/>
    <s v="Camilo Prada"/>
    <m/>
    <m/>
    <m/>
    <m/>
    <n v="0"/>
  </r>
  <r>
    <x v="3"/>
    <x v="10"/>
    <s v="DISTRIBUIDORA TOYOTA S.A.S."/>
    <n v="28067985"/>
    <s v="Tiene un decrecimiento en su participación del mercado de 32%. Tienen el 61% de participación en la Radio, y Prisa Media  perdio participación en el medio radial."/>
    <m/>
    <m/>
    <s v="GENERAR PROPUESTA COMERCIAL"/>
    <n v="100"/>
    <s v="Entregar la propuesta digital y su valorización al ejecutivo correspondiente."/>
    <n v="100"/>
    <s v="Realizar seguimiento a la propuesta para conocer su estado, confirmar si se concretó el cierre e identificar oportunidades de mejora. "/>
    <n v="100"/>
    <m/>
    <x v="0"/>
    <s v="N2|En seguimiento"/>
    <s v="Media"/>
    <s v="Luisa Escobar"/>
    <s v="JUNIO"/>
    <d v="2026-06-04T00:00:00"/>
    <d v="2026-06-24T00:00:00"/>
    <s v="PRODUCTO DIGITAL DISTOYOTA.pptx"/>
    <n v="54244200"/>
  </r>
  <r>
    <x v="3"/>
    <x v="10"/>
    <s v="BRECCIA SALUD S A S"/>
    <n v="13706000"/>
    <s v="Tiene un decrecimiento en la participación del mercado de 25%. Tiene el 37% de participaón en la Radio, Prisa Media tiene el 6% perdiendo participación con RCN. FRANQUICIA EN ARMONIA"/>
    <m/>
    <m/>
    <s v="GENERAR PROPUESTA COMERCIAL - FRANQUICIA EN ARMONIA"/>
    <n v="100"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x v="0"/>
    <s v="N2|En seguimiento"/>
    <s v="Media"/>
    <s v="Luisa Escobar"/>
    <s v="JUNIO"/>
    <d v="2026-06-04T00:00:00"/>
    <d v="2026-06-25T00:00:00"/>
    <s v="Producto_Digital_EN EQUILIBRIO.pptx"/>
    <n v="30200000"/>
  </r>
  <r>
    <x v="3"/>
    <x v="10"/>
    <s v="GRUPO EMPRESARIAL OIKOS S.A.S."/>
    <n v="0"/>
    <s v="Tiene un crecimeinto en la participación del mercado de 300%.  Y tiene su participación en los medios Digital y Vias Publicas."/>
    <m/>
    <m/>
    <s v="GENERAR PROPUESTA COMERCIAL"/>
    <n v="0"/>
    <m/>
    <n v="0"/>
    <m/>
    <n v="0"/>
    <m/>
    <x v="1"/>
    <s v="N2|Por Mejorar"/>
    <s v="Alta"/>
    <s v="Luisa Escobar"/>
    <m/>
    <m/>
    <m/>
    <m/>
    <n v="0"/>
  </r>
  <r>
    <x v="3"/>
    <x v="11"/>
    <s v="GRUPO EMPRESARIAL EN LINEA S.A."/>
    <n v="17507282"/>
    <s v="Tiene un decrecimiento en su participación del mercado de 59%. Y la Radio tiene un participación del 10%, Prisa Media tiene el 30% de la participación en l aradio. Perdiendo participación frente a Oro."/>
    <m/>
    <m/>
    <s v="GENERAR PROPUESTA COMERCIAL"/>
    <n v="0"/>
    <m/>
    <n v="0"/>
    <m/>
    <n v="0"/>
    <m/>
    <x v="1"/>
    <s v="N2|Por Mejorar"/>
    <s v="Alta"/>
    <s v="Lina Lemus"/>
    <m/>
    <m/>
    <m/>
    <m/>
    <n v="0"/>
  </r>
  <r>
    <x v="3"/>
    <x v="11"/>
    <s v="OPELLA HEALTHCARE COLOMBIA S.A.S."/>
    <n v="86896644"/>
    <s v="Tiene un decrecimiento en la participación del mercado de 75%, La radio tiene una participación del 2%, Y Prisa Media tiene el 88% de la participación en la Radio."/>
    <m/>
    <m/>
    <s v="GENERAR PROPUESTA COMERCIAL"/>
    <n v="0"/>
    <m/>
    <n v="0"/>
    <m/>
    <n v="0"/>
    <m/>
    <x v="1"/>
    <s v="N2|Por Mejorar"/>
    <s v="Alta"/>
    <s v="Lina Lemus"/>
    <m/>
    <m/>
    <m/>
    <m/>
    <n v="0"/>
  </r>
  <r>
    <x v="3"/>
    <x v="11"/>
    <s v="MERCADO LIBRE"/>
    <n v="30000000"/>
    <s v="PROPUESTA DIGITAL DINAMICA CAJA  SORPRESA + PUNTOS"/>
    <m/>
    <m/>
    <s v="GENERAR PROPUESTA COMERCIAL"/>
    <n v="100"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x v="4"/>
    <s v="N2|Por cerrar"/>
    <s v="Media"/>
    <s v="Lina Lemus"/>
    <s v="JUNIO"/>
    <d v="2026-06-04T00:00:00"/>
    <d v="2026-06-08T00:00:00"/>
    <s v="Producto_Digital_MERCADO LIBRE LIVE COMMERCE.pptx"/>
    <n v="30000000"/>
  </r>
  <r>
    <x v="3"/>
    <x v="10"/>
    <s v="CENCSUD"/>
    <n v="0"/>
    <m/>
    <m/>
    <m/>
    <s v="GENERAR PROPUESTA COMERCIAL"/>
    <m/>
    <m/>
    <m/>
    <m/>
    <m/>
    <m/>
    <x v="1"/>
    <s v="N2|Por Mejorar"/>
    <s v="Alta"/>
    <s v="Luisa Escobar"/>
    <m/>
    <m/>
    <m/>
    <m/>
    <n v="0"/>
  </r>
  <r>
    <x v="3"/>
    <x v="10"/>
    <s v="JUMBO"/>
    <n v="50000000"/>
    <s v="PROPUESTA DIGITAL DINAMICA CON NFC Y CHAT IA"/>
    <m/>
    <m/>
    <s v="GENERAR PROPUESTA COMERCIAL"/>
    <n v="100"/>
    <s v="Entregar la propuesta digital y su valorización al ejecutivo correspondiente."/>
    <n v="50"/>
    <s v="REALIZAR SEGUIMIENTO A LA PROPUESTA PARA CONOCER SU ESTADO, CONFIRMAR SI SE CONCRETÓ EL CIERRE E IDENTIFICAR OPORTUNIDADES DE MEJORA."/>
    <n v="50"/>
    <m/>
    <x v="0"/>
    <s v="N2|En seguimiento"/>
    <s v="Alta"/>
    <s v="Luisa Escobar"/>
    <s v="JULIO"/>
    <d v="2026-07-23T00:00:00"/>
    <d v="2026-07-24T00:00:00"/>
    <s v="Producto_Digital-LA GRAN FIESTA DEL FESTIVERSARIO.pptx"/>
    <n v="50000000"/>
  </r>
  <r>
    <x v="3"/>
    <x v="11"/>
    <s v="VANTI"/>
    <n v="75000000"/>
    <s v="PROPUESTA DIGITAL DINAMICA  PAUTA INVESTIGATIVA, CAMION TROPICANA Y NFC"/>
    <m/>
    <m/>
    <s v="GENERAR PROPUESTA COMERCIAL"/>
    <n v="100"/>
    <s v="Entregar la propuesta digital y su valorización al ejecutivo correspondiente."/>
    <n v="50"/>
    <s v="REALIZAR SEGUIMIENTO A LA PROPUESTA PARA CONOCER SU ESTADO, CONFIRMAR SI SE CONCRETÓ EL CIERRE E IDENTIFICAR OPORTUNIDADES DE MEJORA."/>
    <n v="50"/>
    <m/>
    <x v="0"/>
    <s v="N2|En seguimiento"/>
    <s v="Alta"/>
    <s v="Lina Lemus"/>
    <s v="JULIO"/>
    <d v="2026-07-22T00:00:00"/>
    <d v="2026-07-27T00:00:00"/>
    <s v="MAPA DEL ULTIMO 1_ - VANTI - TROPICANA (1).pptx"/>
    <n v="75000000"/>
  </r>
  <r>
    <x v="3"/>
    <x v="10"/>
    <s v="DAVIVIENDA"/>
    <n v="0"/>
    <m/>
    <m/>
    <m/>
    <s v="GENERAR PROPUESTA COMERCIAL"/>
    <m/>
    <m/>
    <m/>
    <m/>
    <m/>
    <m/>
    <x v="1"/>
    <s v="N2|Por Mejorar"/>
    <s v="Alta"/>
    <s v="Luisa Escobar"/>
    <m/>
    <m/>
    <m/>
    <m/>
    <n v="0"/>
  </r>
  <r>
    <x v="3"/>
    <x v="11"/>
    <s v="NU BANK"/>
    <n v="0"/>
    <m/>
    <m/>
    <m/>
    <s v="GENERAR PROPUESTA COMERCIAL"/>
    <m/>
    <m/>
    <m/>
    <m/>
    <m/>
    <m/>
    <x v="1"/>
    <s v="N2|Por Mejorar"/>
    <s v="Alta"/>
    <s v="Lina Lemus"/>
    <m/>
    <m/>
    <m/>
    <m/>
    <n v="0"/>
  </r>
  <r>
    <x v="3"/>
    <x v="11"/>
    <s v="FENAVI"/>
    <n v="40000000"/>
    <s v="DESARROLO DE PROPUESTA DIGITAL - FRANQUICIA PROBANDO PROBANDO"/>
    <m/>
    <m/>
    <s v="Entregar la propuesta digital y su valorización al ejecutivo correspondiente."/>
    <n v="100"/>
    <s v="La propuesta fue presentada al cliente "/>
    <n v="100"/>
    <s v="El cliente acepta la propuesta y esta queda pendiente de ejecución."/>
    <n v="50"/>
    <m/>
    <x v="4"/>
    <s v="N2|Por cerrar"/>
    <s v="Media"/>
    <s v="Lina Lemus"/>
    <s v="JULIO"/>
    <d v="2026-07-01T00:00:00"/>
    <d v="2026-07-01T00:00:00"/>
    <s v="Producto_Digital-La proteína que une a Colombia- FENAVI.pptx"/>
    <n v="40000000"/>
  </r>
  <r>
    <x v="4"/>
    <x v="12"/>
    <s v="INVERSIONES GLP S.A.S. E.S.P."/>
    <n v="38566800"/>
    <s v="Tiene un decrecimiento en su participación del mercado de 99%. Tiene toda su participación en Diarios."/>
    <m/>
    <m/>
    <s v="GENERAR PROPUESTA COMERCIAL"/>
    <n v="0"/>
    <m/>
    <n v="0"/>
    <m/>
    <n v="0"/>
    <m/>
    <x v="1"/>
    <s v="N3|Por Mejorar"/>
    <s v="Alta"/>
    <s v="Helen Fajardo"/>
    <m/>
    <m/>
    <m/>
    <m/>
    <n v="0"/>
  </r>
  <r>
    <x v="4"/>
    <x v="12"/>
    <s v="UNIVERSIDAD EUROPEA"/>
    <n v="40000000"/>
    <s v="PROPUESTA DIGITAL TODO Y MAS + FRANQUICIAS TECNOLOGIA Y LA OTRA ENTEVISTA"/>
    <m/>
    <m/>
    <s v="GENERAR PROPUESTA COMERCIAL"/>
    <n v="100"/>
    <s v="ENTREGAR PROPUESTA"/>
    <n v="100"/>
    <s v="SIN CAMBIOS"/>
    <n v="50"/>
    <m/>
    <x v="0"/>
    <s v="N3|En seguimiento"/>
    <s v="Media"/>
    <s v="Helen Fajardo"/>
    <s v="JUNIO"/>
    <d v="2026-06-12T00:00:00"/>
    <d v="2026-06-12T00:00:00"/>
    <s v="PRODUCTO DIGITAL - FUTURO GLOBAL 1.pptx"/>
    <n v="46437280"/>
  </r>
  <r>
    <x v="4"/>
    <x v="13"/>
    <s v="CLARO"/>
    <n v="0"/>
    <s v="e-commerce / venta digital, tecnologia, ciberseguridad, servisios de fibra, facturacion electronica"/>
    <m/>
    <m/>
    <s v="GENERAR PROPUESTA COMERCIAL"/>
    <m/>
    <m/>
    <m/>
    <m/>
    <m/>
    <m/>
    <x v="1"/>
    <s v="N3|Por Mejorar"/>
    <s v="Alta"/>
    <s v="Hugo Urrea"/>
    <m/>
    <m/>
    <m/>
    <m/>
    <n v="0"/>
  </r>
  <r>
    <x v="4"/>
    <x v="13"/>
    <s v="POLITECNICO"/>
    <n v="0"/>
    <s v="Leads - calidad - no registro - matricula"/>
    <m/>
    <m/>
    <s v="GENERAR PROPUESTA COMERCIAL"/>
    <m/>
    <m/>
    <m/>
    <m/>
    <m/>
    <m/>
    <x v="1"/>
    <s v="N3|Por Mejorar"/>
    <s v="Alta"/>
    <s v="Hugo Urrea"/>
    <m/>
    <m/>
    <m/>
    <m/>
    <n v="0"/>
  </r>
  <r>
    <x v="4"/>
    <x v="14"/>
    <s v="CORONA"/>
    <n v="0"/>
    <s v="este año su campaña es muy visual NSE alto / se le ha ofrecido figital pero no les gusta "/>
    <m/>
    <m/>
    <s v="GENERAR PROPUESTA COMERCIAL"/>
    <m/>
    <m/>
    <m/>
    <m/>
    <m/>
    <m/>
    <x v="1"/>
    <s v="N3|Por Mejorar"/>
    <s v="Alta"/>
    <s v="Sofia Calvera"/>
    <m/>
    <m/>
    <m/>
    <m/>
    <n v="0"/>
  </r>
  <r>
    <x v="4"/>
    <x v="15"/>
    <s v="U AREA ANDINA"/>
    <n v="0"/>
    <s v="Leads - calidad x inscripciones"/>
    <m/>
    <m/>
    <s v="GENERAR PROPUESTA COMERCIAL"/>
    <m/>
    <m/>
    <m/>
    <m/>
    <m/>
    <m/>
    <x v="1"/>
    <s v="N3|Por Mejorar"/>
    <s v="Alta"/>
    <s v="Elsa Cortez"/>
    <m/>
    <m/>
    <m/>
    <m/>
    <n v="0"/>
  </r>
  <r>
    <x v="4"/>
    <x v="12"/>
    <s v="MOTAI"/>
    <n v="0"/>
    <s v="es un app para comprar Moto facil, la idea es mostrar como  es de facil adquirir su moto. Preosupesto bajo"/>
    <m/>
    <m/>
    <s v="GENERAR PROPUESTA COMERCIAL"/>
    <m/>
    <m/>
    <m/>
    <m/>
    <m/>
    <m/>
    <x v="1"/>
    <s v="N3|Por Mejorar"/>
    <s v="Alta"/>
    <s v="Helen Fajardo"/>
    <m/>
    <m/>
    <m/>
    <m/>
    <n v="0"/>
  </r>
  <r>
    <x v="4"/>
    <x v="16"/>
    <s v="PARAMO"/>
    <n v="15000000"/>
    <s v="solo nos ven como radio pero hacen pauta en otro lado, necesitamos vendernos como plataforma digital"/>
    <m/>
    <m/>
    <s v="GENERAR PROPUESTA COMERCIAL"/>
    <n v="100"/>
    <s v="Propuesta entregada"/>
    <n v="100"/>
    <s v="REALIZAR SEGUIMIENTO A LA PROPUESTA PARA CONOCER SU ESTADO, CONFIRMAR SI SE CONCRETÓ EL CIERRE E IDENTIFICAR OPORTUNIDADES DE MEJORA."/>
    <n v="50"/>
    <m/>
    <x v="0"/>
    <s v="N3|En seguimiento"/>
    <s v="Media"/>
    <s v="Laura Melo"/>
    <s v="JULIO"/>
    <d v="2026-05-26T00:00:00"/>
    <d v="2026-07-21T00:00:00"/>
    <s v="PROPUESTA PARAMO PRESENTA.pptx"/>
    <n v="15000000"/>
  </r>
  <r>
    <x v="4"/>
    <x v="17"/>
    <s v="NESTOGENO"/>
    <n v="50000000"/>
    <s v="solicitud de propuesta digital a medida - FRANQUICIA MUJERES QUE TRANSFORMAN"/>
    <m/>
    <m/>
    <s v="generar propuesta - FRANQUICIA MUJERES QUE TRANSFORMAN"/>
    <n v="100"/>
    <s v="ENTREGAR PROPUESTA"/>
    <n v="100"/>
    <s v="POR CERRAR"/>
    <n v="50"/>
    <m/>
    <x v="4"/>
    <s v="N3|Por cerrar"/>
    <s v="Media"/>
    <s v="Diana Andrea Rodiguez"/>
    <s v="JUNIO"/>
    <d v="2026-06-24T00:00:00"/>
    <d v="2026-06-24T00:00:00"/>
    <s v="Producto Digital - NESTOGENO - CRECIENDO JUNTAS.pptx"/>
    <n v="50686060"/>
  </r>
  <r>
    <x v="4"/>
    <x v="18"/>
    <s v="FALABELLA"/>
    <n v="30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3|En seguimiento"/>
    <s v="Media"/>
    <s v="Diana Andrea Rodriguez"/>
    <s v="JULIO"/>
    <d v="2026-07-08T00:00:00"/>
    <d v="2026-07-10T00:00:00"/>
    <s v="FALABELLA SHOPPING EXPERIENCE.pptx"/>
    <n v="30000000"/>
  </r>
  <r>
    <x v="4"/>
    <x v="19"/>
    <s v="AUTONIZA"/>
    <n v="5000000"/>
    <s v="Ecosistema whatsaap"/>
    <m/>
    <m/>
    <s v="Entregar la propuesta digital"/>
    <n v="100"/>
    <s v="Se formaliza el cierre de la venta y se da inicio al proceso de ejecución."/>
    <n v="100"/>
    <m/>
    <m/>
    <m/>
    <x v="2"/>
    <s v="N3|Cerrada"/>
    <s v="Baja"/>
    <s v="Laura Calvera"/>
    <s v="JUNIO"/>
    <d v="2026-06-02T00:00:00"/>
    <d v="2026-06-02T00:00:00"/>
    <s v="21-Producto_Digital_ECOSISTEMA-WHATSAPP.pptx"/>
    <n v="5500000"/>
  </r>
  <r>
    <x v="4"/>
    <x v="18"/>
    <s v="CORONA"/>
    <n v="40000000"/>
    <s v="PROPUESTA DE FRANQUICIA CÁPSULAS DE VIDEO CON CHECK IN"/>
    <m/>
    <m/>
    <s v="GENERAR PROPUESTA COMERCIAL"/>
    <n v="100"/>
    <s v="Realizar seguimiento a la propuesta para conocer su estado, confirmar si se concretó el cierre e identificar oportunidades de mejora."/>
    <n v="100"/>
    <s v="SIN CAMBIOS"/>
    <n v="50"/>
    <m/>
    <x v="0"/>
    <s v="N3|En seguimiento"/>
    <s v="Baja"/>
    <s v="Diana Andrea Rodriguez"/>
    <s v="JUNIO"/>
    <m/>
    <d v="2026-06-24T00:00:00"/>
    <s v="PRODUCTO DIGITAL - CERVEZA CORONA.pptx"/>
    <n v="40000000"/>
  </r>
  <r>
    <x v="4"/>
    <x v="20"/>
    <s v="RAPPI"/>
    <n v="0"/>
    <s v="necesitan incrementar su ticket diario"/>
    <m/>
    <m/>
    <s v="GENERAR PROPUESTA COMERCIAL"/>
    <n v="0"/>
    <m/>
    <m/>
    <m/>
    <m/>
    <m/>
    <x v="1"/>
    <s v="N3|Por Mejorar"/>
    <s v="Alta"/>
    <s v="Nicole Hincapie"/>
    <m/>
    <m/>
    <m/>
    <m/>
    <n v="0"/>
  </r>
  <r>
    <x v="4"/>
    <x v="20"/>
    <s v="CONSTRUCTORAS PLANIFICADAS"/>
    <n v="0"/>
    <s v="con que estrategia podriamos dar a conocer más a fondo los proyectos inmobiliarios que tienen"/>
    <m/>
    <m/>
    <s v="GENERAR PROPUESTA COMERCIAL"/>
    <n v="0"/>
    <m/>
    <m/>
    <m/>
    <m/>
    <m/>
    <x v="1"/>
    <s v="N3|Por Mejorar"/>
    <s v="Alta"/>
    <s v="Nicole Hincapie"/>
    <m/>
    <m/>
    <m/>
    <m/>
    <n v="0"/>
  </r>
  <r>
    <x v="4"/>
    <x v="20"/>
    <s v="BANCO DE OCCIDENTE"/>
    <n v="0"/>
    <s v="llevan mas de un año sin comprar. Cuenta de ahorros que renta, inversion colombianos"/>
    <m/>
    <m/>
    <s v="GENERAR PROPUESTA COMERCIAL"/>
    <n v="0"/>
    <m/>
    <m/>
    <m/>
    <m/>
    <m/>
    <x v="1"/>
    <s v="N3|Por Mejorar"/>
    <s v="Alta"/>
    <s v="Nicole Hincapie"/>
    <m/>
    <m/>
    <m/>
    <m/>
    <n v="0"/>
  </r>
  <r>
    <x v="5"/>
    <x v="21"/>
    <s v="MEDPLUS"/>
    <n v="0"/>
    <s v="Fortalecer el posicionamiento de la marca aprovechando el aniversario de Clínica Azul."/>
    <m/>
    <m/>
    <s v="GENERAR PROPUESTA COMERCIAL"/>
    <n v="0"/>
    <m/>
    <m/>
    <m/>
    <m/>
    <m/>
    <x v="1"/>
    <s v="N4|Por Mejorar"/>
    <s v="Alta"/>
    <s v="Gina Tinjacá"/>
    <m/>
    <m/>
    <m/>
    <m/>
    <n v="0"/>
  </r>
  <r>
    <x v="5"/>
    <x v="21"/>
    <s v="WIN SPORTS"/>
    <n v="0"/>
    <s v="Aumentar audiencias y suscripciones entre hinchas colombianos en el exterior."/>
    <m/>
    <m/>
    <s v="GENERAR PROPUESTA COMERCIAL"/>
    <n v="0"/>
    <m/>
    <m/>
    <m/>
    <m/>
    <m/>
    <x v="1"/>
    <s v="N4|Por Mejorar"/>
    <s v="Alta"/>
    <s v="Gina Tinjacá"/>
    <m/>
    <m/>
    <m/>
    <m/>
    <n v="0"/>
  </r>
  <r>
    <x v="5"/>
    <x v="22"/>
    <s v="UNAD"/>
    <n v="0"/>
    <s v="Atraer nuevos estudiantes en periodos de inscripción destacando flexibilidad, cobertura y accesibilidad."/>
    <m/>
    <m/>
    <s v="GENERAR PROPUESTA COMERCIAL"/>
    <n v="0"/>
    <m/>
    <m/>
    <m/>
    <m/>
    <m/>
    <x v="1"/>
    <s v="N4|Por Mejorar"/>
    <s v="Alta"/>
    <s v="Karen Perez"/>
    <m/>
    <m/>
    <m/>
    <m/>
    <n v="0"/>
  </r>
  <r>
    <x v="5"/>
    <x v="23"/>
    <s v="GAES"/>
    <n v="0"/>
    <s v="Desarrollar campañas de sensibilización sobre pérdida auditiva y promover soluciones de bienestar e inclusión."/>
    <m/>
    <m/>
    <s v="GENERAR PROPUESTA COMERCIAL"/>
    <n v="0"/>
    <m/>
    <m/>
    <m/>
    <m/>
    <m/>
    <x v="1"/>
    <s v="N4|Por Mejorar"/>
    <s v="Alta"/>
    <s v="Valentina Párraga"/>
    <m/>
    <m/>
    <m/>
    <m/>
    <n v="0"/>
  </r>
  <r>
    <x v="5"/>
    <x v="23"/>
    <s v="BOSTON MEDICAL GROUP"/>
    <n v="0"/>
    <s v="Fortalecer el posicionamiento mediante contenidos educativos y generación de confianza."/>
    <m/>
    <m/>
    <s v="GENERAR PROPUESTA COMERCIAL"/>
    <n v="0"/>
    <m/>
    <m/>
    <m/>
    <m/>
    <m/>
    <x v="1"/>
    <s v="N4|Por Mejorar"/>
    <s v="Alta"/>
    <s v="Valentina Párraga"/>
    <m/>
    <m/>
    <m/>
    <m/>
    <n v="0"/>
  </r>
  <r>
    <x v="5"/>
    <x v="24"/>
    <s v="LEVAPAN"/>
    <n v="0"/>
    <s v="Incrementar reconocimiento de marca y preferencia entre profesionales y emprendedores del sector alimentario."/>
    <m/>
    <m/>
    <s v="GENERAR PROPUESTA COMERCIAL"/>
    <n v="0"/>
    <m/>
    <m/>
    <m/>
    <m/>
    <m/>
    <x v="1"/>
    <s v="N4|Por Mejorar"/>
    <s v="Alta"/>
    <s v="Mauricio Agudelo"/>
    <m/>
    <m/>
    <m/>
    <m/>
    <n v="0"/>
  </r>
  <r>
    <x v="5"/>
    <x v="24"/>
    <s v="FUNDACIÓN CARDIO INFANTIL"/>
    <n v="0"/>
    <s v="Fortalecer el posicionamiento institucional y visibilizar su impacto social."/>
    <m/>
    <m/>
    <s v="GENERAR PROPUESTA COMERCIAL"/>
    <n v="0"/>
    <m/>
    <m/>
    <m/>
    <m/>
    <m/>
    <x v="1"/>
    <s v="N4|Por Mejorar"/>
    <s v="Alta"/>
    <s v="Mauricio Agudelo"/>
    <m/>
    <m/>
    <m/>
    <m/>
    <n v="0"/>
  </r>
  <r>
    <x v="5"/>
    <x v="21"/>
    <s v="URBANSA"/>
    <n v="0"/>
    <s v="Generar clientes potenciales para proyectos de vivienda VIS y No VIS."/>
    <m/>
    <m/>
    <s v="GENERAR PROPUESTA COMERCIAL"/>
    <n v="0"/>
    <m/>
    <m/>
    <m/>
    <m/>
    <m/>
    <x v="1"/>
    <s v="N4|Por Mejorar"/>
    <s v="Alta"/>
    <s v="Gina Tinjacá"/>
    <m/>
    <m/>
    <m/>
    <m/>
    <n v="0"/>
  </r>
  <r>
    <x v="5"/>
    <x v="23"/>
    <s v="MASTERCARD"/>
    <n v="0"/>
    <s v="Impulsar la adopción de medios de pago digitales, educación financiera e inclusión digital."/>
    <m/>
    <m/>
    <s v="GENERAR PROPUESTA COMERCIAL"/>
    <n v="0"/>
    <m/>
    <m/>
    <m/>
    <m/>
    <m/>
    <x v="1"/>
    <s v="N4|Por Mejorar"/>
    <s v="Alta"/>
    <s v="Valentina Párraga"/>
    <m/>
    <m/>
    <m/>
    <m/>
    <n v="0"/>
  </r>
  <r>
    <x v="5"/>
    <x v="25"/>
    <s v="SR SIMI"/>
    <n v="200000000"/>
    <s v="PROPUESTA FRANQUICIA - EL ALBÚM"/>
    <m/>
    <m/>
    <s v="GENERAR PROPUESTA COMERCIAL"/>
    <n v="100"/>
    <s v="ENTREGAR PROPUESTA"/>
    <n v="100"/>
    <s v="SIN CAMBIOS"/>
    <n v="100"/>
    <m/>
    <x v="2"/>
    <s v="N4|Cerrada"/>
    <s v="Media"/>
    <s v="Luis López"/>
    <s v="JUNIO"/>
    <d v="2026-06-16T00:00:00"/>
    <d v="2026-07-10T00:00:00"/>
    <s v="https://canva.link/7gihh7hu1w85rtl"/>
    <n v="200000000"/>
  </r>
  <r>
    <x v="5"/>
    <x v="21"/>
    <s v="ALCIAUTOS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ALLIANZ SEGUROS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AUTOGERMAN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BBV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BAT - BRITSH AMERICAN TOBACCO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BROWN FORMAN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CASTROL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CODERE COLOMBI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COLCAN - VITALEA LAB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COVINOC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COVO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EGALITE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FORD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GENCELL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ISHOP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KFC - INVERSIONES INT COLOMBI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MAZD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MEDPLUS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PASH - OSTU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PAVCO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PAX ASSISTANCE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SC JOHNSON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SIK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UIP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2"/>
    <s v="GAC"/>
    <n v="1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s v="La propuesta fue aprobada por el cliente. Actualmente nos encontramos a la espera de su ejecución."/>
    <n v="100"/>
    <m/>
    <x v="2"/>
    <s v="N4|Cerrada"/>
    <s v="Media"/>
    <s v="Karen Perez"/>
    <s v="JULIO"/>
    <d v="2026-07-07T00:00:00"/>
    <d v="2026-07-07T00:00:00"/>
    <s v="Producto_Digital-CONDUCE EL FUTURO- GAC.pptx"/>
    <n v="15577700"/>
  </r>
  <r>
    <x v="5"/>
    <x v="22"/>
    <s v="VALVOLINE"/>
    <n v="47000000"/>
    <s v=" franquicia Muchas Pelotas."/>
    <m/>
    <m/>
    <s v="Entregar la propuesta digital y su valorización al ejecutivo correspondiente."/>
    <n v="100"/>
    <s v="Se concreta el cierre de la venta."/>
    <n v="100"/>
    <m/>
    <n v="100"/>
    <m/>
    <x v="2"/>
    <s v="N4|Cerrada"/>
    <s v="Media"/>
    <s v="Karen Perez"/>
    <s v="JUNIO"/>
    <d v="2026-06-27T00:00:00"/>
    <d v="2026-06-27T00:00:00"/>
    <s v="FRANQUICIAS PRISA.pptx"/>
    <n v="48000000"/>
  </r>
  <r>
    <x v="5"/>
    <x v="22"/>
    <s v="FLAMINGO"/>
    <n v="30000000"/>
    <s v="PROPUESTA PARA ANIVERSARIO"/>
    <m/>
    <m/>
    <s v="PROPUESTA GENERADA Y ENVIADA AL EJECUTIVO"/>
    <n v="100"/>
    <s v="SEGUIMIENTO"/>
    <n v="50"/>
    <m/>
    <m/>
    <m/>
    <x v="0"/>
    <s v="N4|En seguimiento"/>
    <s v="Media"/>
    <s v="Karen Perez"/>
    <s v="JULIO"/>
    <d v="2026-07-14T00:00:00"/>
    <d v="2026-07-14T00:00:00"/>
    <s v="https://grupoprisa-my.sharepoint.com/:p:/g/personal/juangodoy_est_caracol_com_co/IQCTvV2t-eLWQq2L9mflqXwPAfE1ADF1gSilO6Wk8SmQ5eY?CID=ad890f88-4ed8-9a0d-3c25-51ff00ffeb03&amp;SI=SentItems&amp;SLSync=F"/>
    <n v="27980000"/>
  </r>
  <r>
    <x v="5"/>
    <x v="22"/>
    <s v="UNIVERSIDAD DE CATALUÑA"/>
    <n v="15000000"/>
    <s v="DESARROLO DE PROPUESTA DIGITAL - FRANQUICIA PANTALLEROS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4|En seguimiento"/>
    <s v="Media"/>
    <s v="Karen Perez"/>
    <s v="JULIO"/>
    <d v="2026-07-14T00:00:00"/>
    <d v="2026-07-15T00:00:00"/>
    <s v="PROPUESTA UNIVERSIDAD DE CATALUÑA.pptx"/>
    <n v="10300000"/>
  </r>
  <r>
    <x v="6"/>
    <x v="26"/>
    <s v="HALEON"/>
    <n v="45700000"/>
    <s v="Desarrollar una propuesta altamente diferencial e innovadora que responda a sus altos estándares de aprobación y logre reactivar inversión frente a la participación activa que mantienen en otros medios. FRANQUICIA EN TENDENCIA "/>
    <m/>
    <m/>
    <s v="GENERAR PROPUESTA COMERCIAL - FRANQUICIA EN TENDENCIA"/>
    <n v="100"/>
    <s v="Realizar seguimiento a la propuesta para conocer su estado, confirmar si se concretó el cierre e identificar oportunidades de mejora."/>
    <n v="100"/>
    <m/>
    <n v="50"/>
    <m/>
    <x v="0"/>
    <s v="N5|En seguimiento"/>
    <s v="Alta"/>
    <s v="Luz Hernandez"/>
    <s v="JUNIO"/>
    <d v="2026-06-30T00:00:00"/>
    <d v="2026-06-30T00:00:00"/>
    <s v="PROPUESTA HALEON.pptx"/>
    <n v="24664200"/>
  </r>
  <r>
    <x v="6"/>
    <x v="26"/>
    <s v="LACTALIS"/>
    <n v="8000000"/>
    <s v="Mantener seguimiento estratégico de la cuenta y monitorear oportunidades futuras mientras persisten restricciones regulatorias que limitan la reactivación en el corto plazo. TIENE UN PROBLEMA CON INVIMA "/>
    <m/>
    <m/>
    <s v="GENERAR PROPUESTA COMERCIAL"/>
    <n v="0"/>
    <m/>
    <n v="0"/>
    <m/>
    <n v="0"/>
    <m/>
    <x v="1"/>
    <s v="N5|Por Mejorar"/>
    <s v="Alta"/>
    <s v="Luz Karime Hernandez"/>
    <m/>
    <m/>
    <m/>
    <m/>
    <n v="0"/>
  </r>
  <r>
    <x v="6"/>
    <x v="27"/>
    <s v="SECTOR UNIVERSITARIO"/>
    <n v="4000000"/>
    <s v="Construir estrategias de comunicación de largo plazo que permitan presencia continua durante el año y reduzcan la dependencia de campañas estacionales de matrícula."/>
    <m/>
    <m/>
    <s v="GENERAR PROPUESTA COMERCIAL"/>
    <n v="0"/>
    <m/>
    <n v="0"/>
    <m/>
    <n v="0"/>
    <m/>
    <x v="1"/>
    <s v="N5|Por Mejorar"/>
    <s v="Alta"/>
    <s v="Ana Maria Castañeda"/>
    <m/>
    <m/>
    <m/>
    <m/>
    <n v="0"/>
  </r>
  <r>
    <x v="6"/>
    <x v="27"/>
    <s v="AR CONSTRUCCIONES"/>
    <n v="0"/>
    <s v="Demostrar el valor de las plataformas de PRISA más allá de la radio tradicional, conectando soluciones comerciales con sus objetivos de negocio y generación de resultados."/>
    <m/>
    <m/>
    <s v="GENERAR PROPUESTA COMERCIAL"/>
    <n v="0"/>
    <m/>
    <n v="0"/>
    <m/>
    <n v="0"/>
    <m/>
    <x v="1"/>
    <s v="N5|Por Mejorar"/>
    <s v="Alta"/>
    <s v="Ana Maria Castañeda"/>
    <m/>
    <m/>
    <m/>
    <m/>
    <n v="0"/>
  </r>
  <r>
    <x v="6"/>
    <x v="27"/>
    <s v="CONSTRUCTORA GALIAS"/>
    <n v="0"/>
    <s v="Presentar propuestas innovadoras y diferenciadas que incentiven el retorno de inversión y reactiven la relación comercial."/>
    <m/>
    <m/>
    <s v="GENERAR PROPUESTA COMERCIAL"/>
    <n v="0"/>
    <m/>
    <n v="0"/>
    <m/>
    <n v="0"/>
    <m/>
    <x v="1"/>
    <s v="N5|Por Mejorar"/>
    <s v="Alta"/>
    <s v="Ana Maria Castañeda"/>
    <m/>
    <m/>
    <m/>
    <m/>
    <n v="0"/>
  </r>
  <r>
    <x v="6"/>
    <x v="27"/>
    <s v="Cromantic y Aruma"/>
    <n v="0"/>
    <s v="Diseñar iniciativas creativas que complementen sus estrategias digitales actuales y aumenten la participación de inversión en nuestros medios."/>
    <m/>
    <m/>
    <s v="GENERAR PROPUESTA COMERCIAL"/>
    <n v="0"/>
    <m/>
    <n v="0"/>
    <m/>
    <n v="0"/>
    <m/>
    <x v="1"/>
    <s v="N5|Por Mejorar"/>
    <s v="Alta"/>
    <s v="Ana Maria Castañeda"/>
    <m/>
    <m/>
    <m/>
    <m/>
    <n v="0"/>
  </r>
  <r>
    <x v="6"/>
    <x v="28"/>
    <s v="CUSEZAR"/>
    <n v="0"/>
    <s v="Desarrollar la cuenta mediante propuestas diferenciadoras que fortalezcan la relación y generen crecimiento sostenido de inversión."/>
    <m/>
    <m/>
    <s v="GENERAR PROPUESTA COMERCIAL"/>
    <n v="0"/>
    <m/>
    <n v="0"/>
    <m/>
    <n v="0"/>
    <m/>
    <x v="1"/>
    <s v="N5|Por Mejorar"/>
    <s v="Alta"/>
    <s v="Carol Beltan"/>
    <m/>
    <m/>
    <m/>
    <m/>
    <n v="0"/>
  </r>
  <r>
    <x v="6"/>
    <x v="28"/>
    <s v="CEMEX"/>
    <n v="0"/>
    <s v="Construir relacionamiento comercial y generar oportunidades desde una etapa temprana de exploración para consolidar futuras inversiones."/>
    <m/>
    <m/>
    <s v="GENERAR PROPUESTA COMERCIAL"/>
    <n v="0"/>
    <m/>
    <n v="0"/>
    <m/>
    <n v="0"/>
    <m/>
    <x v="1"/>
    <s v="N5|Por Mejorar"/>
    <s v="Alta"/>
    <s v="Carol Beltan"/>
    <m/>
    <m/>
    <m/>
    <m/>
    <n v="0"/>
  </r>
  <r>
    <x v="6"/>
    <x v="28"/>
    <s v="DISTRITO SALVAJE"/>
    <n v="0"/>
    <s v="Impulsar el desarrollo de la cuenta mediante acciones de valor que fortalezcan el posicionamiento de marca y generen nuevas oportunidades comerciales. NO TIENEN CONTACTO CON EL GERENTE"/>
    <m/>
    <m/>
    <s v="GENERAR PROPUESTA COMERCIAL"/>
    <n v="0"/>
    <m/>
    <n v="0"/>
    <m/>
    <n v="0"/>
    <m/>
    <x v="1"/>
    <s v="N5|Por Mejorar"/>
    <s v="Alta"/>
    <s v="Carol Beltan"/>
    <m/>
    <m/>
    <m/>
    <m/>
    <n v="0"/>
  </r>
  <r>
    <x v="6"/>
    <x v="29"/>
    <s v="VIAJES FALABELLA"/>
    <n v="0"/>
    <s v="Desarrollar estrategias enfocadas y alineadas con objetivos de negocio para incrementar progresivamente su nivel de inversión."/>
    <m/>
    <m/>
    <s v="GENERAR PROPUESTA COMERCIAL"/>
    <n v="0"/>
    <m/>
    <n v="0"/>
    <m/>
    <n v="0"/>
    <m/>
    <x v="1"/>
    <s v="N5|Por Mejorar"/>
    <s v="Alta"/>
    <s v="Raul Herrera"/>
    <m/>
    <m/>
    <m/>
    <m/>
    <n v="0"/>
  </r>
  <r>
    <x v="6"/>
    <x v="29"/>
    <s v="MOVISTAR"/>
    <n v="0"/>
    <s v="Identificar alternativas comerciales que compensen la reducción de inversión derivada del proceso de integración con Tigo y sostener participación en la categoría."/>
    <m/>
    <m/>
    <s v="GENERAR PROPUESTA COMERCIAL"/>
    <n v="0"/>
    <m/>
    <n v="0"/>
    <m/>
    <n v="0"/>
    <m/>
    <x v="1"/>
    <s v="N5|Por Mejorar"/>
    <s v="Alta"/>
    <s v="Raul Herrera"/>
    <m/>
    <m/>
    <m/>
    <m/>
    <n v="0"/>
  </r>
  <r>
    <x v="6"/>
    <x v="28"/>
    <s v="TA•DA"/>
    <n v="50000000"/>
    <s v="PROPUESTA DIGITAL - DINAMICA DE SUBASTA"/>
    <m/>
    <m/>
    <s v="GENERAR PROPUESTA COMERCIAL"/>
    <n v="100"/>
    <s v="Realizar seguimiento a la propuesta para conocer su estado, confirmar si se concretó el cierre e identificar oportunidades de mejora."/>
    <n v="100"/>
    <s v="SIN CAMBIOS "/>
    <n v="100"/>
    <m/>
    <x v="0"/>
    <s v="N5|En seguimiento"/>
    <s v="Baja"/>
    <s v="Carol Beltan"/>
    <s v="JUNIO"/>
    <d v="2026-06-01T00:00:00"/>
    <d v="2026-06-01T00:00:00"/>
    <s v="PRODUCTO DIGITAL - TA•DA.pptx"/>
    <n v="60000000"/>
  </r>
  <r>
    <x v="6"/>
    <x v="28"/>
    <s v="BAVARIA"/>
    <n v="20000000"/>
    <s v="PROPUESTA DIGITAL LA RUTA DEL GOL"/>
    <m/>
    <m/>
    <s v="GENERAR PROPUESTA COMERCIAL"/>
    <n v="100"/>
    <s v="Realizar seguimiento a la propuesta para conocer su estado, confirmar si se concretó el cierre e identificar oportunidades de mejora."/>
    <n v="100"/>
    <s v="SIN CAMBIOS"/>
    <n v="100"/>
    <m/>
    <x v="2"/>
    <s v="N5|Cerrada"/>
    <s v="Baja"/>
    <s v="Carol Beltan"/>
    <s v="JUNIO"/>
    <d v="2026-06-09T00:00:00"/>
    <d v="2026-06-09T00:00:00"/>
    <m/>
    <n v="18000000"/>
  </r>
  <r>
    <x v="6"/>
    <x v="28"/>
    <s v="AMALFITANA"/>
    <n v="40000000"/>
    <s v="PROPUESTA DUGITAL CON DOS PUNTOS MAS FRANQUICIA DE PROBANDO PROBANDO"/>
    <m/>
    <m/>
    <s v="GENERAR PROPUESTA COMERCIAL"/>
    <n v="100"/>
    <s v="Realizar seguimiento a la propuesta para conocer su estado, confirmar si se concretó el cierre e identificar oportunidades de mejora."/>
    <n v="100"/>
    <s v="SIN CAMBIOS"/>
    <n v="50"/>
    <m/>
    <x v="0"/>
    <s v="N5|En seguimiento"/>
    <s v="Media"/>
    <s v="Carol Beltran"/>
    <s v="JUNIO"/>
    <d v="2026-06-26T00:00:00"/>
    <d v="2026-06-22T00:00:00"/>
    <s v="PRODUCTO DIGITAL - AMALFITANA.pptx"/>
    <n v="45000000"/>
  </r>
  <r>
    <x v="6"/>
    <x v="28"/>
    <s v="COCA-COLA"/>
    <n v="0"/>
    <m/>
    <m/>
    <m/>
    <s v="GENERAR PROPUESTA COMERCIAL"/>
    <n v="0"/>
    <m/>
    <m/>
    <m/>
    <m/>
    <m/>
    <x v="1"/>
    <s v="N5|Por Mejorar"/>
    <s v="Alta"/>
    <s v="Carol Beltan"/>
    <m/>
    <m/>
    <m/>
    <m/>
    <n v="0"/>
  </r>
  <r>
    <x v="6"/>
    <x v="29"/>
    <s v="MOVISTAR"/>
    <n v="0"/>
    <m/>
    <m/>
    <m/>
    <s v="GENERAR PROPUESTA COMERCIAL"/>
    <n v="0"/>
    <m/>
    <m/>
    <m/>
    <m/>
    <m/>
    <x v="1"/>
    <s v="N5|Por Mejorar"/>
    <s v="Alta"/>
    <s v="Raul Herrera"/>
    <m/>
    <m/>
    <m/>
    <m/>
    <n v="0"/>
  </r>
  <r>
    <x v="6"/>
    <x v="27"/>
    <s v="DECATHLON"/>
    <n v="30000000"/>
    <m/>
    <m/>
    <m/>
    <s v="GENERAR PROPUESTA COMERCIAL"/>
    <n v="100"/>
    <s v="Propuesta entregada"/>
    <n v="100"/>
    <s v="PROPUESTA CERRADA"/>
    <n v="100"/>
    <m/>
    <x v="2"/>
    <s v="N5|Cerrada"/>
    <s v="Alta"/>
    <s v="Ana Maria Castañeda"/>
    <s v="JUNIO"/>
    <m/>
    <m/>
    <m/>
    <n v="30000000"/>
  </r>
  <r>
    <x v="6"/>
    <x v="29"/>
    <s v="COMPENSAR"/>
    <n v="0"/>
    <m/>
    <m/>
    <m/>
    <s v="GENERAR PROPUESTA COMERCIAL"/>
    <n v="0"/>
    <m/>
    <m/>
    <m/>
    <m/>
    <m/>
    <x v="1"/>
    <s v="N5|Por Mejorar"/>
    <s v="Alta"/>
    <s v="Raul Herrera"/>
    <m/>
    <m/>
    <m/>
    <m/>
    <n v="0"/>
  </r>
  <r>
    <x v="6"/>
    <x v="29"/>
    <s v="DESPEGAR"/>
    <n v="35000000"/>
    <s v="DESARROLO DE PROPUESTA DIGITAL - FRANQUICIA CHECK IN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n v="50"/>
    <m/>
    <x v="0"/>
    <s v="N5|En seguimiento"/>
    <s v="Media"/>
    <s v="Raul Herrera"/>
    <s v="JULIO"/>
    <d v="2026-07-03T00:00:00"/>
    <d v="2026-07-03T00:00:00"/>
    <s v="PROPUESTA DESPEGAR.pptx"/>
    <n v="39000000"/>
  </r>
  <r>
    <x v="6"/>
    <x v="28"/>
    <s v="BAN 100 "/>
    <n v="8000000"/>
    <s v="DESARROLO DE PROPUESTA DIGITAL  - FRANQUICIA SE LO EXPLICO CON EXPERTOS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n v="50"/>
    <m/>
    <x v="0"/>
    <s v="N5|En seguimiento"/>
    <s v="Media"/>
    <s v="Carol Beltan"/>
    <s v="JULIO"/>
    <d v="2026-07-07T00:00:00"/>
    <d v="2026-07-07T00:00:00"/>
    <s v="PROPUESTA BAN100.pptx"/>
    <n v="8500000"/>
  </r>
  <r>
    <x v="6"/>
    <x v="28"/>
    <s v="CERVEZA TRIBUTO"/>
    <n v="40000000"/>
    <s v="PROPUESTA  DIGITAL - FRANQUICIA PROBANDO PROBANDO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5|En seguimiento"/>
    <s v="Media"/>
    <s v="Carol Beltan"/>
    <s v="JULIO"/>
    <d v="2026-07-10T00:00:00"/>
    <d v="2026-07-15T00:00:00"/>
    <s v="Producto_Digital-TRIBUTO.pptx"/>
    <n v="45000000"/>
  </r>
  <r>
    <x v="6"/>
    <x v="26"/>
    <s v="HP"/>
    <n v="48000000"/>
    <s v="DESARROLO DE PROPUESTA DIGITAL CON FRANQUICIA TECNOLOGIA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4"/>
    <s v="N5|Por cerrar"/>
    <s v="Media"/>
    <s v="Luz Karime Hernandez"/>
    <s v="JULIO"/>
    <d v="2026-07-17T00:00:00"/>
    <d v="2026-07-17T00:00:00"/>
    <s v="PROPUESTA HP.pptx"/>
    <n v="48000000"/>
  </r>
  <r>
    <x v="5"/>
    <x v="22"/>
    <s v="FONTANAR"/>
    <n v="42000000"/>
    <s v="DESARROLO DE PROPUESTA DIGITAL - FRANQUICIA GABSULAS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s v="se realiza un re ajuste, estamos a la espera por aprobacion del cliente"/>
    <n v="50"/>
    <m/>
    <x v="0"/>
    <s v="N4|En seguimiento"/>
    <s v="Media"/>
    <s v="Karen Perez"/>
    <s v="JULIO"/>
    <d v="2026-07-23T00:00:00"/>
    <d v="2026-07-24T00:00:00"/>
    <s v="Presentación Escape Game - Fontanar.pptx"/>
    <n v="40000000"/>
  </r>
  <r>
    <x v="5"/>
    <x v="24"/>
    <s v="AVIATUR"/>
    <n v="28800000"/>
    <s v="DESARROLO DE PROPUESTA DIGITAL - FRANQUICIA ENTE VALIENTES Y TEAM HATER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4|En seguimiento"/>
    <s v="Media"/>
    <s v="Mauricio Agudelo"/>
    <s v="JULIO"/>
    <d v="2026-07-23T00:00:00"/>
    <d v="2026-07-23T00:00:00"/>
    <m/>
    <n v="28800000"/>
  </r>
  <r>
    <x v="5"/>
    <x v="24"/>
    <s v="KIMBERLY CLARK"/>
    <n v="40000000"/>
    <s v="DESARROLO DE PROPUESTA DIGITAL - FRANQUICIAS CARTAS A MI EX Y LA LUCIERNAGA PARODIAS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1"/>
    <m/>
    <n v="50"/>
    <m/>
    <x v="0"/>
    <s v="N4|En seguimiento"/>
    <s v="Media"/>
    <s v="Mauricio Agudelo"/>
    <s v="JULIO"/>
    <d v="2026-07-23T00:00:00"/>
    <d v="2026-07-23T00:00:00"/>
    <s v="https://grupoprisa-my.sharepoint.com/:p:/g/personal/juangodoy_est_caracol_com_co/IQAQHCjHLHXeQpGijneN_H5lActlHYQNn5Jhxg8oQL12bn8                          https://grupoprisa-my.sharepoint.com/:p:/g/personal/juangodoy_est_caracol_com_co/IQCZl1yA5ZmPS7yCUZS3T5--AeQJKQE2dQZJJX-atpvHzDg"/>
    <n v="43000000"/>
  </r>
  <r>
    <x v="5"/>
    <x v="22"/>
    <s v="PUNTO RED"/>
    <n v="23568560"/>
    <s v="FRANQUICIA - SE LO EXPLICO CON EXPERTOS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4|En seguimiento"/>
    <s v="Media"/>
    <s v="Karen Perez"/>
    <s v="JULIO"/>
    <d v="2026-07-28T00:00:00"/>
    <d v="2026-07-30T00:00:00"/>
    <s v="PUNTO RED + TROPICANA .pptx"/>
    <n v="23568560"/>
  </r>
  <r>
    <x v="4"/>
    <x v="16"/>
    <s v="TEATRO NACIONAL"/>
    <n v="20000000"/>
    <s v="FRANQUICIA - PARODIAS LA LUCIERNAGA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s v="Se realizo un ajuste a la propuesta envia, deacurdo a lo conversado con el cliente "/>
    <n v="100"/>
    <m/>
    <x v="0"/>
    <s v="N3|En seguimiento"/>
    <s v="Media"/>
    <s v="Laura Melo"/>
    <s v="JULIO"/>
    <d v="2026-07-27T00:00:00"/>
    <d v="2026-07-28T00:00:00"/>
    <m/>
    <n v="20000000"/>
  </r>
  <r>
    <x v="4"/>
    <x v="15"/>
    <s v="DALE!"/>
    <n v="42950000"/>
    <s v="Video remoto + Chat IA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n v="50"/>
    <m/>
    <x v="0"/>
    <s v="N3|En seguimiento"/>
    <s v="Media"/>
    <s v="Elsa Graciliana"/>
    <s v="JULIO"/>
    <d v="2026-07-12T00:00:00"/>
    <d v="2026-07-13T00:00:00"/>
    <m/>
    <n v="42950000"/>
  </r>
  <r>
    <x v="2"/>
    <x v="2"/>
    <s v="ZURICH"/>
    <n v="20000000"/>
    <s v="FRANQUICIA - EL RADAR DE VILLAR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1|En seguimiento"/>
    <s v="Media"/>
    <s v="Andrea Morales"/>
    <s v="AGOSTO"/>
    <d v="2026-08-04T00:00:00"/>
    <d v="2026-08-04T00:00:00"/>
    <m/>
    <n v="20000000"/>
  </r>
  <r>
    <x v="6"/>
    <x v="27"/>
    <s v="GRAN ESTACIÓN"/>
    <n v="52275000"/>
    <s v="SUBASTA SMARTPROMO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5|En seguimiento"/>
    <s v="Media"/>
    <s v="Ana Maria Castañeda"/>
    <s v="AGOSTO"/>
    <d v="2026-08-18T00:00:00"/>
    <d v="2026-08-18T00:00:00"/>
    <m/>
    <n v="52275000"/>
  </r>
  <r>
    <x v="6"/>
    <x v="26"/>
    <s v="ALKOMPRAR"/>
    <n v="0"/>
    <s v="SUBASTA SMARTPROMO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5|En seguimiento"/>
    <s v="Media"/>
    <s v="Luz Karime Hernandez"/>
    <s v="AGOSTO"/>
    <d v="2026-08-18T00:00:00"/>
    <d v="2026-08-18T00:00: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3A63B-AEDF-4008-9769-2C5D8F71770B}" name="TablaDinámica3" cacheId="3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H6:J57" firstHeaderRow="0" firstDataRow="1" firstDataCol="1"/>
  <pivotFields count="23">
    <pivotField axis="axisRow" showAll="0">
      <items count="9">
        <item x="0"/>
        <item m="1" x="7"/>
        <item x="2"/>
        <item x="3"/>
        <item x="4"/>
        <item x="5"/>
        <item x="6"/>
        <item x="1"/>
        <item t="default"/>
      </items>
    </pivotField>
    <pivotField axis="axisRow" showAll="0">
      <items count="39">
        <item x="0"/>
        <item x="2"/>
        <item m="1" x="33"/>
        <item x="9"/>
        <item x="28"/>
        <item x="6"/>
        <item m="1" x="34"/>
        <item x="17"/>
        <item x="18"/>
        <item x="3"/>
        <item m="1" x="32"/>
        <item x="12"/>
        <item m="1" x="36"/>
        <item m="1" x="30"/>
        <item x="22"/>
        <item x="19"/>
        <item x="11"/>
        <item x="10"/>
        <item x="26"/>
        <item x="8"/>
        <item x="29"/>
        <item m="1" x="35"/>
        <item m="1" x="37"/>
        <item x="13"/>
        <item x="14"/>
        <item x="15"/>
        <item x="16"/>
        <item m="1" x="31"/>
        <item x="20"/>
        <item x="21"/>
        <item x="23"/>
        <item x="24"/>
        <item x="25"/>
        <item x="27"/>
        <item x="4"/>
        <item x="5"/>
        <item x="1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6">
        <item x="2"/>
        <item x="0"/>
        <item h="1" x="1"/>
        <item x="4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3">
    <field x="0"/>
    <field x="14"/>
    <field x="1"/>
  </rowFields>
  <rowItems count="51">
    <i>
      <x/>
    </i>
    <i r="1">
      <x v="1"/>
    </i>
    <i r="2">
      <x/>
    </i>
    <i>
      <x v="2"/>
    </i>
    <i r="1">
      <x/>
    </i>
    <i r="2">
      <x v="35"/>
    </i>
    <i r="1">
      <x v="1"/>
    </i>
    <i r="2">
      <x v="1"/>
    </i>
    <i r="2">
      <x v="5"/>
    </i>
    <i r="2">
      <x v="19"/>
    </i>
    <i r="2">
      <x v="34"/>
    </i>
    <i r="2">
      <x v="37"/>
    </i>
    <i>
      <x v="3"/>
    </i>
    <i r="1">
      <x v="1"/>
    </i>
    <i r="2">
      <x v="3"/>
    </i>
    <i r="2">
      <x v="16"/>
    </i>
    <i r="2">
      <x v="17"/>
    </i>
    <i r="1">
      <x v="3"/>
    </i>
    <i r="2">
      <x v="16"/>
    </i>
    <i>
      <x v="4"/>
    </i>
    <i r="1">
      <x/>
    </i>
    <i r="2">
      <x v="15"/>
    </i>
    <i r="1">
      <x v="1"/>
    </i>
    <i r="2">
      <x v="8"/>
    </i>
    <i r="2">
      <x v="11"/>
    </i>
    <i r="2">
      <x v="25"/>
    </i>
    <i r="2">
      <x v="26"/>
    </i>
    <i r="1">
      <x v="3"/>
    </i>
    <i r="2">
      <x v="7"/>
    </i>
    <i>
      <x v="5"/>
    </i>
    <i r="1">
      <x/>
    </i>
    <i r="2">
      <x v="14"/>
    </i>
    <i r="2">
      <x v="32"/>
    </i>
    <i r="1">
      <x v="1"/>
    </i>
    <i r="2">
      <x v="14"/>
    </i>
    <i r="2">
      <x v="31"/>
    </i>
    <i>
      <x v="6"/>
    </i>
    <i r="1">
      <x/>
    </i>
    <i r="2">
      <x v="4"/>
    </i>
    <i r="2">
      <x v="33"/>
    </i>
    <i r="1">
      <x v="1"/>
    </i>
    <i r="2">
      <x v="4"/>
    </i>
    <i r="2">
      <x v="18"/>
    </i>
    <i r="2">
      <x v="20"/>
    </i>
    <i r="2">
      <x v="33"/>
    </i>
    <i r="1">
      <x v="3"/>
    </i>
    <i r="2">
      <x v="18"/>
    </i>
    <i>
      <x v="7"/>
    </i>
    <i r="1">
      <x v="1"/>
    </i>
    <i r="2"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ENTA ESTIMADA" fld="3" baseField="0" baseItem="4" numFmtId="165"/>
    <dataField name="Suma de VALOR DE LA PROPUESTA" fld="22" baseField="0" baseItem="4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QUIPO" xr10:uid="{CF9024F2-2408-4100-AE1B-EB4B9E81F205}" sourceName="EQUIPO">
  <pivotTables>
    <pivotTable tabId="7" name="TablaDinámica3"/>
  </pivotTables>
  <data>
    <tabular pivotCacheId="302660054">
      <items count="8">
        <i x="0" s="1"/>
        <i x="2" s="1"/>
        <i x="3" s="1"/>
        <i x="4" s="1"/>
        <i x="5" s="1"/>
        <i x="6" s="1"/>
        <i x="1" s="1"/>
        <i x="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O" xr10:uid="{DC85BA5D-D673-4B6A-AECB-288A2EA9FECC}" cache="SegmentaciónDeDatos_EQUIPO" caption="EQUIPO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26E605-9209-41F9-9C79-403F5F670860}" name="tbl_BasePowerBI" displayName="tbl_BasePowerBI" ref="A1:AG143" totalsRowShown="0" headerRowDxfId="67" dataDxfId="66">
  <autoFilter ref="A1:AG143" xr:uid="{C026E605-9209-41F9-9C79-403F5F670860}">
    <filterColumn colId="0">
      <filters>
        <filter val="N5"/>
      </filters>
    </filterColumn>
    <filterColumn colId="1">
      <filters>
        <filter val="Andrea Morales"/>
      </filters>
    </filterColumn>
  </autoFilter>
  <tableColumns count="33">
    <tableColumn id="1" xr3:uid="{80389C8C-01FA-4E7B-AAF1-0B11AA110025}" name="EQUIPO" dataDxfId="64" totalsRowDxfId="65"/>
    <tableColumn id="2" xr3:uid="{9720A10B-4ADA-4B85-9377-AB9C6224F304}" name="NOMBRE EJECUTIVO" dataDxfId="62" totalsRowDxfId="63"/>
    <tableColumn id="3" xr3:uid="{CA9D8949-6B2E-4B24-9CDA-A4827594BAB5}" name="CUENTA" dataDxfId="60" totalsRowDxfId="61"/>
    <tableColumn id="4" xr3:uid="{98D97283-94D8-4BA4-8786-AA7C16CCAE5D}" name="VENTA ESTIMADA" dataDxfId="58" totalsRowDxfId="59"/>
    <tableColumn id="5" xr3:uid="{69D6057E-BC5A-4D47-BDD0-4C5B97CAF94D}" name="NECESIDAD 1" dataDxfId="56" totalsRowDxfId="57"/>
    <tableColumn id="6" xr3:uid="{47A857E5-1C72-4909-ADB7-AF050E1EB0E1}" name="NECESIDAD 2" dataDxfId="54" totalsRowDxfId="55"/>
    <tableColumn id="7" xr3:uid="{ED283B44-6ACF-478F-AE99-F174C620DB4A}" name="NECESIDAD 3" dataDxfId="52" totalsRowDxfId="53"/>
    <tableColumn id="8" xr3:uid="{95F1C76B-1FBA-40EA-8085-E9E4A82ADA05}" name="PLAN DE ACCIÓN 1" dataDxfId="50" totalsRowDxfId="51"/>
    <tableColumn id="9" xr3:uid="{15AEFD1B-89DB-40AB-9118-E14A6F0660D0}" name="AVANCE PLAN 1" dataDxfId="48" totalsRowDxfId="49"/>
    <tableColumn id="10" xr3:uid="{31ACC88A-46BC-46F5-9C78-021C8079C980}" name="PLAN DE ACCIÓN 2" dataDxfId="46" totalsRowDxfId="47"/>
    <tableColumn id="11" xr3:uid="{E9DD9095-8967-481D-B94B-26E4477AC7CB}" name="AVANCE PLAN 2" dataDxfId="44" totalsRowDxfId="45"/>
    <tableColumn id="12" xr3:uid="{7A7D51F4-6CC3-4422-8039-D7CACEDBECE8}" name="PLAN DE ACCIÓN 3" dataDxfId="42" totalsRowDxfId="43"/>
    <tableColumn id="13" xr3:uid="{27A6E116-4A88-4AD3-8CF7-339C343C5697}" name="AVANCE PLAN 3" dataDxfId="40" totalsRowDxfId="41"/>
    <tableColumn id="14" xr3:uid="{A02C5A76-63C3-4871-AD43-FAB101F7E7AA}" name="OPORTUNIDAD" dataDxfId="38" totalsRowDxfId="39"/>
    <tableColumn id="15" xr3:uid="{FDBA5983-6E2D-4A7F-AF1E-567CEC9EA110}" name="ESTADO" dataDxfId="36" totalsRowDxfId="37"/>
    <tableColumn id="16" xr3:uid="{95919F85-5228-4BF4-A11B-6979F7157139}" name="CLAVE" dataDxfId="34" totalsRowDxfId="35">
      <calculatedColumnFormula>A2&amp;"|"&amp;O2</calculatedColumnFormula>
    </tableColumn>
    <tableColumn id="18" xr3:uid="{46326FB1-4179-4BFA-AB0D-49D25E92AB20}" name="PRIORIDAD" dataDxfId="32" totalsRowDxfId="33"/>
    <tableColumn id="20" xr3:uid="{F2EB9062-E8EC-4831-B7B8-2C132F6AAF75}" name="RESPONSABLE" dataDxfId="30" totalsRowDxfId="31">
      <calculatedColumnFormula>TRIM(tbl_BasePowerBI[[#This Row],[NOMBRE EJECUTIVO]])</calculatedColumnFormula>
    </tableColumn>
    <tableColumn id="35" xr3:uid="{A8EA4B4E-04B1-4304-B9ED-4A6589BFF4D6}" name="MES" dataDxfId="28" totalsRowDxfId="29"/>
    <tableColumn id="33" xr3:uid="{68B15ED3-AB0A-4B34-9E64-3279AC73BD41}" name="FECHA SOLICITUD" dataDxfId="26" totalsRowDxfId="27"/>
    <tableColumn id="34" xr3:uid="{4E7A1E5D-E347-4F54-AB5C-93937DEBACF1}" name="FECHA DE ENTREGA" dataDxfId="24" totalsRowDxfId="25"/>
    <tableColumn id="32" xr3:uid="{72B6B9C9-8BF7-4AA3-825E-F524ED856CFC}" name="LINK DE PRESENTACION" dataDxfId="22" totalsRowDxfId="23"/>
    <tableColumn id="31" xr3:uid="{A31A4B9C-7323-45AB-9DCE-50B9510C55A7}" name="VALOR DE LA PROPUESTA" dataDxfId="20" totalsRowDxfId="21"/>
    <tableColumn id="21" xr3:uid="{0BC01873-FADA-4FC3-AD63-168D87171B0A}" name="Columna1" dataDxfId="18" totalsRowDxfId="19"/>
    <tableColumn id="22" xr3:uid="{4D9735DB-694B-4646-AA6C-40DE96CF8EAD}" name="Columna2" dataDxfId="16" totalsRowDxfId="17"/>
    <tableColumn id="23" xr3:uid="{47FAED11-AF60-4179-90AA-C2B0958D90DC}" name="Columna3" dataDxfId="14" totalsRowDxfId="15"/>
    <tableColumn id="24" xr3:uid="{09549260-F42B-4A26-B8EE-17525FE4561E}" name="NOMBRE DIRECTOR" dataDxfId="12" totalsRowDxfId="13"/>
    <tableColumn id="25" xr3:uid="{B322080E-4C39-490C-AFF8-C2E1B3AD8E78}" name="TIPO EQUIPO" dataDxfId="10" totalsRowDxfId="11"/>
    <tableColumn id="26" xr3:uid="{8D883B38-1598-4123-9BA8-AE2305D3FBAB}" name="EQUIPO4" dataDxfId="8" totalsRowDxfId="9"/>
    <tableColumn id="27" xr3:uid="{E31D86F7-BF16-4ECE-B42E-6D56C089FE21}" name="ESTADO5" dataDxfId="6" totalsRowDxfId="7"/>
    <tableColumn id="28" xr3:uid="{C8833826-63D6-484D-A7E9-448DA25017C7}" name="IMAGEN6" dataDxfId="4" totalsRowDxfId="5"/>
    <tableColumn id="29" xr3:uid="{1AF6B75F-47BC-424E-94FD-A6C1D7E15E85}" name="PRIORIDAD7" dataDxfId="2" totalsRowDxfId="3"/>
    <tableColumn id="30" xr3:uid="{9D4AEED9-12C8-4865-AA82-414D415E089F}" name="CLAVE8" dataDxfId="0" totalsRow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grupoprisa-my.sharepoint.com/:p:/r/personal/nicolas_bermudez_caracol_com_co/Documents/DIGITAL/Productos%20Digitales/Producto_Digital_FRANQUICIAS%20PRISA%202026.pptx?d=w9337b3fe008347e99b45d6f45674336d&amp;csf=1&amp;web=1&amp;e=U2AJ0F" TargetMode="External"/><Relationship Id="rId21" Type="http://schemas.openxmlformats.org/officeDocument/2006/relationships/hyperlink" Target="https://grupoprisa-my.sharepoint.com/:p:/r/personal/nicolas_bermudez_caracol_com_co/Documents/DIGITAL/Productos%20Digitales/PRODUCTO%20DIGITAL%20-%20TA%E2%80%A2DA.pptx?d=w333775fb57af4bb188f72c5f793eefe8&amp;csf=1&amp;web=1&amp;e=uaWwUN" TargetMode="External"/><Relationship Id="rId42" Type="http://schemas.openxmlformats.org/officeDocument/2006/relationships/hyperlink" Target="https://grupoprisa-my.sharepoint.com/:p:/g/personal/juangodoy_est_caracol_com_co/IQCHxe3NSSkMSpsZDwFQ5LU5Ac7jtZiYMDl8eyyLQMcBTDw" TargetMode="External"/><Relationship Id="rId47" Type="http://schemas.openxmlformats.org/officeDocument/2006/relationships/hyperlink" Target="https://grupoprisa-my.sharepoint.com/:p:/r/personal/nicolas_bermudez_caracol_com_co/Documents/DIGITAL/Productos%20Digitales/PUNTO%20RED%20+%20TROPICANA%20.pptx?d=w9659842f1a2b4cb5a0078e70c87d526a&amp;csf=1&amp;web=1&amp;e=1aPEiq" TargetMode="External"/><Relationship Id="rId63" Type="http://schemas.openxmlformats.org/officeDocument/2006/relationships/hyperlink" Target="https://grupoprisa-my.sharepoint.com/:p:/g/personal/juangodoy_est_caracol_com_co/IQA-xkuln8tHT68mSi6bkdVSAd5xs5GFxUxmBy4cGEyeXLg" TargetMode="External"/><Relationship Id="rId68" Type="http://schemas.openxmlformats.org/officeDocument/2006/relationships/hyperlink" Target="https://grupoprisa-my.sharepoint.com/:p:/r/personal/jonathanvel_est_caracol_com_co/Documents/Datos%20adjuntos/BELONG%20+%20CARACOL%20RADIO.pptx?d=w1469588182464efc92f9970683ad10a5&amp;csf=1&amp;web=1&amp;e=ili5P8" TargetMode="External"/><Relationship Id="rId84" Type="http://schemas.openxmlformats.org/officeDocument/2006/relationships/hyperlink" Target="https://grupoprisa-my.sharepoint.com/:p:/r/personal/jonathanvel_est_caracol_com_co/Documents/Datos%20adjuntos/ISHOP%20+%20MARATON%20DEL%20GALLO.pptx?d=wc93c8214f6e54d37a15a2a4437d7d93a&amp;csf=1&amp;web=1&amp;e=EhDTFo" TargetMode="External"/><Relationship Id="rId89" Type="http://schemas.openxmlformats.org/officeDocument/2006/relationships/hyperlink" Target="https://grupoprisa-my.sharepoint.com/:p:/g/personal/juangodoy_est_caracol_com_co/IQAix-tQroTBTL4cdvAaimREAR4eRK0dlZAhx6QwKz1ajPM?e=dafjIg" TargetMode="External"/><Relationship Id="rId16" Type="http://schemas.openxmlformats.org/officeDocument/2006/relationships/hyperlink" Target="https://grupoprisa-my.sharepoint.com/:p:/r/personal/nicolas_bermudez_caracol_com_co/Documents/DIGITAL/Productos%20Digitales/Producto%20Digital%20-%20NESTOGENO%20-%20CRECIENDO%20JUNTAS.pptx?d=w0ec2db2957324cf5a354dc026ecf45f9&amp;csf=1&amp;web=1&amp;e=xpg7Qs" TargetMode="External"/><Relationship Id="rId107" Type="http://schemas.openxmlformats.org/officeDocument/2006/relationships/hyperlink" Target="https://grupoprisa-my.sharepoint.com/:p:/g/personal/juangodoy_est_caracol_com_co/IQBYFroMCKOPRZ06_QxqOnh5AQTvOH0oR43R6i2aaUVr0vA?e=Dw1FHB" TargetMode="External"/><Relationship Id="rId11" Type="http://schemas.openxmlformats.org/officeDocument/2006/relationships/hyperlink" Target="https://grupoprisa-my.sharepoint.com/:p:/r/personal/juangodoy_est_caracol_com_co/Documents/Attachments/PROPUESTA%20AMAZON%20ECOMMERCE.pptx?d=w62b49227b12142bc83e0320c7091870b&amp;csf=1&amp;web=1&amp;e=vMEsxV" TargetMode="External"/><Relationship Id="rId32" Type="http://schemas.openxmlformats.org/officeDocument/2006/relationships/hyperlink" Target="https://grupoprisa-my.sharepoint.com/:p:/r/personal/nicolas_bermudez_caracol_com_co/Documents/DIGITAL/Productos%20Digitales/Producto_Digital_RADIO%20INTERACTIVO.pptx?d=wf77035a5a60345069d3e3b13c31bcc3b&amp;csf=1&amp;web=1&amp;e=HkMS6V" TargetMode="External"/><Relationship Id="rId37" Type="http://schemas.openxmlformats.org/officeDocument/2006/relationships/hyperlink" Target="https://grupoprisa-my.sharepoint.com/:p:/r/personal/nicolas_bermudez_caracol_com_co/Documents/DIGITAL/Productos%20Digitales/Producto_Digital-TRIBUTO.pptx?d=w163e41cd53af4cdcb4c86921939e4660&amp;csf=1&amp;web=1&amp;e=Id0pYR" TargetMode="External"/><Relationship Id="rId53" Type="http://schemas.openxmlformats.org/officeDocument/2006/relationships/hyperlink" Target="https://grupoprisa-my.sharepoint.com/:p:/g/personal/juangodoy_est_caracol_com_co/IQBV2lVvM2NXTbMe6arvJR9EAYtY8-0ngEj-YSToUieJ5h0" TargetMode="External"/><Relationship Id="rId58" Type="http://schemas.openxmlformats.org/officeDocument/2006/relationships/hyperlink" Target="https://grupoprisa-my.sharepoint.com/:p:/g/personal/jonathanvel_est_caracol_com_co/IQCNSNsKGd0kTom-3ayvbpD1AZPThZ5LForzsibj6Ic-zC0?e=s2wG2D" TargetMode="External"/><Relationship Id="rId74" Type="http://schemas.openxmlformats.org/officeDocument/2006/relationships/hyperlink" Target="https://grupoprisa-my.sharepoint.com/:p:/r/personal/jonathanvel_est_caracol_com_co/Documents/Datos%20adjuntos/AR%20CONSTRUCCIONES%20+%20PRISA%20MEDIA.pptx?d=w0c689e9acb474b6895f06efb9e6ebe9c&amp;csf=1&amp;web=1&amp;e=2y2enR" TargetMode="External"/><Relationship Id="rId79" Type="http://schemas.openxmlformats.org/officeDocument/2006/relationships/hyperlink" Target="https://grupoprisa-my.sharepoint.com/:p:/g/personal/juangodoy_est_caracol_com_co/IQC5Lq2L-EahQaYTGUiSfYjZAcOZY3ugIVEC0SuMov2GuYY" TargetMode="External"/><Relationship Id="rId102" Type="http://schemas.openxmlformats.org/officeDocument/2006/relationships/hyperlink" Target="https://grupoprisa-my.sharepoint.com/:p:/g/personal/jonathanvel_est_caracol_com_co/IQCfTVeWxhZnRoMsnnkskFipAb8l67guZdrtOsxVbF4UPJE?e=FX7uvV" TargetMode="External"/><Relationship Id="rId5" Type="http://schemas.openxmlformats.org/officeDocument/2006/relationships/hyperlink" Target="https://grupoprisa-my.sharepoint.com/:p:/r/personal/nicolas_bermudez_caracol_com_co/Documents/DIGITAL/Productos%20Digitales/Producto_Digital-La%20prote%C3%ADna%20que%20une%20a%20Colombia-%20FENAVI.pptx?d=wc86eed22e520416c9b5d8fca90f4b72d&amp;csf=1&amp;web=1&amp;e=56gj6k" TargetMode="External"/><Relationship Id="rId90" Type="http://schemas.openxmlformats.org/officeDocument/2006/relationships/hyperlink" Target="https://grupoprisa-my.sharepoint.com/:p:/g/personal/jonathanvel_est_caracol_com_co/IQACgNe6PpdzRrCpB_DJtu8pATy9vNH0vpm2uBi_ELlubzc?e=6oYTwW" TargetMode="External"/><Relationship Id="rId95" Type="http://schemas.openxmlformats.org/officeDocument/2006/relationships/hyperlink" Target="https://grupoprisa-my.sharepoint.com/:p:/r/personal/nicolas_bermudez_caracol_com_co/Documents/DIGITAL/Productos%20Digitales/PROPUESTA%20PLUXEE.pptx?d=w7d645b781a8c42b48b8df6970be97fb1&amp;csf=1&amp;web=1&amp;e=1s0RLr" TargetMode="External"/><Relationship Id="rId22" Type="http://schemas.openxmlformats.org/officeDocument/2006/relationships/hyperlink" Target="https://grupoprisa-my.sharepoint.com/:p:/r/personal/nicolas_bermudez_caracol_com_co/Documents/DIGITAL/Productos%20Digitales/PRODUCTO%20DIGITAL%20-%20AMALFITANA.pptx?d=w68e54c8f800e46f8afee0110f9d3ffd5&amp;csf=1&amp;web=1&amp;e=CjbdRE" TargetMode="External"/><Relationship Id="rId27" Type="http://schemas.openxmlformats.org/officeDocument/2006/relationships/hyperlink" Target="https://grupoprisa-my.sharepoint.com/:p:/r/personal/nicolas_bermudez_caracol_com_co/Documents/DIGITAL/Productos%20Digitales/FRANQUICIAS%20PRISA.pptx?d=w7ca6bbbb9fc144d090b1822bae074d33&amp;csf=1&amp;web=1&amp;e=eFFuKY" TargetMode="External"/><Relationship Id="rId43" Type="http://schemas.openxmlformats.org/officeDocument/2006/relationships/hyperlink" Target="https://grupoprisa-my.sharepoint.com/:p:/g/personal/juangodoy_est_caracol_com_co/IQAQHCjHLHXeQpGijneN_H5lActlHYQNn5Jhxg8oQL12bn8%20%20%20%20%20%20%20%20%20%20%20%20%20%20%20%20%20%20%20%20%20%20%20%20%20%20https:/grupoprisa-my.sharepoint.com/:p:/g/personal/juangodoy_est_caracol_com_co/IQCZl1yA5ZmPS7yCUZS3T5--AeQJKQE2dQZJJX-atpvHzDg" TargetMode="External"/><Relationship Id="rId48" Type="http://schemas.openxmlformats.org/officeDocument/2006/relationships/hyperlink" Target="https://grupoprisa-my.sharepoint.com/:p:/g/personal/juangodoy_est_caracol_com_co/IQDSWKXeDPMdS5tkug0MQFWjAUGCWwnBGQmQfJXQvj2cBNQ" TargetMode="External"/><Relationship Id="rId64" Type="http://schemas.openxmlformats.org/officeDocument/2006/relationships/hyperlink" Target="https://grupoprisa-my.sharepoint.com/:p:/g/personal/juangodoy_est_caracol_com_co/IQBm7-4y6-pxTbZMFVPAMnoRAcD-ZQTDarxFUFTGwNj4DGk" TargetMode="External"/><Relationship Id="rId69" Type="http://schemas.openxmlformats.org/officeDocument/2006/relationships/hyperlink" Target="https://grupoprisa-my.sharepoint.com/:p:/r/personal/jonathanvel_est_caracol_com_co/Documents/Datos%20adjuntos/RUSHBET%20+%20AS.pptx?d=wca3d2b11afe448678ef8fdc8b5fd9ce7&amp;csf=1&amp;web=1&amp;e=IsBqMg" TargetMode="External"/><Relationship Id="rId80" Type="http://schemas.openxmlformats.org/officeDocument/2006/relationships/hyperlink" Target="https://grupoprisa-my.sharepoint.com/:p:/g/personal/juangodoy_est_caracol_com_co/IQAfrpXpHQ7FToOExeVBEX_9AQ9Z-3qSYLBWJ_J5THSupr4" TargetMode="External"/><Relationship Id="rId85" Type="http://schemas.openxmlformats.org/officeDocument/2006/relationships/hyperlink" Target="https://grupoprisa-my.sharepoint.com/:p:/r/personal/jonathanvel_est_caracol_com_co/Documents/Datos%20adjuntos/XIAOMI%20+%20PRISA%20MEDIA.pptx?d=w3951dc8b6b7c4abb96deb849b22ff653&amp;csf=1&amp;web=1&amp;e=2aWKHM" TargetMode="External"/><Relationship Id="rId12" Type="http://schemas.openxmlformats.org/officeDocument/2006/relationships/hyperlink" Target="https://grupoprisa-my.sharepoint.com/:p:/r/personal/sthefanie_botello_caracol_com_co/Documents/Escritorio/Productos%20digitales/Producto_Digital-CONDUCE%20EL%20FUTURO-%20GAC.pptx?d=w90329673f0a447f780e244d58e2c9f95&amp;csf=1&amp;web=1&amp;e=9F4eB5" TargetMode="External"/><Relationship Id="rId17" Type="http://schemas.openxmlformats.org/officeDocument/2006/relationships/hyperlink" Target="https://grupoprisa-my.sharepoint.com/:p:/r/personal/sthefanie_botello_caracol_com_co/Documents/Attachments/PRODUCTO%20DIGITAL%20-%20FUTURO%20GLOBAL%201.pptx?d=w7d082ba591954794a4853f011ef225b1&amp;csf=1&amp;web=1&amp;e=NJDyYh" TargetMode="External"/><Relationship Id="rId33" Type="http://schemas.openxmlformats.org/officeDocument/2006/relationships/hyperlink" Target="https://grupoprisa-my.sharepoint.com/:p:/r/personal/sthefanie_botello_caracol_com_co/Documents/Escritorio/Productos%20digitales/Producto_Digital-CONEXI%C3%93N%20PRISA.pptx?d=w25e67bb8ec9d449d8caff07c2e453193&amp;csf=1&amp;web=1&amp;e=ic09di" TargetMode="External"/><Relationship Id="rId38" Type="http://schemas.openxmlformats.org/officeDocument/2006/relationships/hyperlink" Target="https://grupoprisa-my.sharepoint.com/:p:/r/personal/nicolas_bermudez_caracol_com_co/Documents/DIGITAL/Productos%20Digitales/PROPUESTA%20UNIVERSIDAD%20DE%20CATALU%C3%91A.pptx?d=w4d2c2557e8fc41ec8fdbf8c330aafeb4&amp;csf=1&amp;web=1&amp;e=ATKA8u" TargetMode="External"/><Relationship Id="rId59" Type="http://schemas.openxmlformats.org/officeDocument/2006/relationships/hyperlink" Target="https://grupoprisa-my.sharepoint.com/:p:/g/personal/juangodoy_est_caracol_com_co/IQBTmUpdxx02Q5wEfD6ZyuEoAfPAKsNWYLaFXST2CakjrQw" TargetMode="External"/><Relationship Id="rId103" Type="http://schemas.openxmlformats.org/officeDocument/2006/relationships/hyperlink" Target="https://grupoprisa-my.sharepoint.com/:p:/g/personal/jonathanvel_est_caracol_com_co/IQCq8nxfqBeQRLr-01tbEZ53AT-PnIWzAKVYH6ChPX7rgRU?e=DvjQxZ" TargetMode="External"/><Relationship Id="rId108" Type="http://schemas.openxmlformats.org/officeDocument/2006/relationships/hyperlink" Target="https://grupoprisa-my.sharepoint.com/:v:/g/personal/juangodoy_est_caracol_com_co/IQCHP46HBZY2RZK_UyF9WG9lAdwEyCY-ovU5GdxoYAxbGKo?nav=eyJyZWZlcnJhbEluZm8iOnsicmVmZXJyYWxBcHAiOiJTdHJlYW1XZWJBcHAiLCJyZWZlcnJhbFZpZXciOiJTaGFyZURpYWxvZy1MaW5rIiwicmVmZXJyYWxBcHBQbGF0Zm9ybSI6IldlYiIsInJlZmVycmFsTW9kZSI6InZpZXcifX0%3D&amp;e=KjPix5" TargetMode="External"/><Relationship Id="rId54" Type="http://schemas.openxmlformats.org/officeDocument/2006/relationships/hyperlink" Target="https://grupoprisa-my.sharepoint.com/:p:/g/personal/juangodoy_est_caracol_com_co/IQDHPYK6HToBTZeIr6YijdI_ATFYXOF15iKAkYASW9lpG14" TargetMode="External"/><Relationship Id="rId70" Type="http://schemas.openxmlformats.org/officeDocument/2006/relationships/hyperlink" Target="https://grupoprisa-my.sharepoint.com/:p:/r/personal/jonathanvel_est_caracol_com_co/Documents/Datos%20adjuntos/KALLEY%20+%20BESAME.pptx?d=w53fba932eb9948eaab40b6c1b9c24f12&amp;csf=1&amp;web=1&amp;e=WrYv0x" TargetMode="External"/><Relationship Id="rId75" Type="http://schemas.openxmlformats.org/officeDocument/2006/relationships/hyperlink" Target="https://grupoprisa-my.sharepoint.com/:p:/g/personal/juangodoy_est_caracol_com_co/IQDhfZd5k4OfRq1X2d1CwohFAQyOOWN_fe9BB3x4PBalwv0" TargetMode="External"/><Relationship Id="rId91" Type="http://schemas.openxmlformats.org/officeDocument/2006/relationships/hyperlink" Target="https://grupoprisa-my.sharepoint.com/:p:/g/personal/jonathanvel_est_caracol_com_co/IQAEzmF09SOpS5t40XJce0D9AZl2hVFk9mxwQ5tY_p-DaqY?e=9EZWRH" TargetMode="External"/><Relationship Id="rId96" Type="http://schemas.openxmlformats.org/officeDocument/2006/relationships/hyperlink" Target="https://grupoprisa-my.sharepoint.com/:p:/r/personal/nicolas_bermudez_caracol_com_co/Documents/DIGITAL/Productos%20Digitales/PROPUESTA%20VIVEMAX.pptx?d=w642e33042753486e97a23377c9cbd15c&amp;csf=1&amp;web=1&amp;e=6fU0xc" TargetMode="External"/><Relationship Id="rId1" Type="http://schemas.openxmlformats.org/officeDocument/2006/relationships/hyperlink" Target="https://grupoprisa-my.sharepoint.com/:p:/r/personal/nicolas_bermudez_caracol_com_co/Documents/DIGITAL/Productos%20Digitales/PRODUCTO%20DIGITAL%20-%20COLFONDOS.pptx?d=w604ca08f351b4a15bbe6750b670656ba&amp;csf=1&amp;web=1&amp;e=qKLRfY" TargetMode="External"/><Relationship Id="rId6" Type="http://schemas.openxmlformats.org/officeDocument/2006/relationships/hyperlink" Target="https://grupoprisa-my.sharepoint.com/:p:/r/personal/juangodoy_est_caracol_com_co/Documents/EL%20TOUR%20DEL%20ESTILO.pptx?d=wf013ae477afa4effb5f24c9922b12bf8&amp;csf=1&amp;web=1&amp;e=y8cAMR" TargetMode="External"/><Relationship Id="rId15" Type="http://schemas.openxmlformats.org/officeDocument/2006/relationships/hyperlink" Target="https://grupoprisa-my.sharepoint.com/:p:/r/personal/sthefanie_botello_caracol_com_co/Documents/Escritorio/Productos%20digitales/PRODUCTO%20DIGITAL-LA%20RUTA%20DEL%20GOL.pptx?d=wbd9e70d7f2cc4faab1e18f7f040fcc07&amp;csf=1&amp;web=1&amp;e=5ExtJW" TargetMode="External"/><Relationship Id="rId23" Type="http://schemas.openxmlformats.org/officeDocument/2006/relationships/hyperlink" Target="https://grupoprisa-my.sharepoint.com/:p:/r/personal/sthefanie_botello_caracol_com_co/Documents/Escritorio/Productos%20digitales/PRODUCTO%20DIGITAL-FRANQUICIAS-M%C3%9ASICA%20EN%20MOVIMIENTO.pptx?d=w4d85c2041963407f8b071f9ae36c644b&amp;csf=1&amp;web=1&amp;e=AHSuEs" TargetMode="External"/><Relationship Id="rId28" Type="http://schemas.openxmlformats.org/officeDocument/2006/relationships/hyperlink" Target="https://grupoprisa-my.sharepoint.com/:p:/r/personal/nicolas_bermudez_caracol_com_co/Documents/DIGITAL/Productos%20Digitales/PRODUCTO%20DIGITAL-ELECCIONES%202026.pptx?d=wa0a398c95b3348fcb6ff7c7331192b98&amp;csf=1&amp;web=1&amp;e=5RyiqJ" TargetMode="External"/><Relationship Id="rId36" Type="http://schemas.openxmlformats.org/officeDocument/2006/relationships/hyperlink" Target="https://grupoprisa-my.sharepoint.com/:p:/g/personal/juangodoy_est_caracol_com_co/IQCTvV2t-eLWQq2L9mflqXwPAfE1ADF1gSilO6Wk8SmQ5eY?CID=ad890f88-4ed8-9a0d-3c25-51ff00ffeb03&amp;SI=SentItems&amp;SLSync=F" TargetMode="External"/><Relationship Id="rId49" Type="http://schemas.openxmlformats.org/officeDocument/2006/relationships/hyperlink" Target="https://grupoprisa-my.sharepoint.com/:p:/g/personal/juangodoy_est_caracol_com_co/IQDDsXgYeG9_TImaUn_AKuBsASJ-LTyG6qh8P6h5USPzv2Q" TargetMode="External"/><Relationship Id="rId57" Type="http://schemas.openxmlformats.org/officeDocument/2006/relationships/hyperlink" Target="https://grupoprisa-my.sharepoint.com/:p:/g/personal/juangodoy_est_caracol_com_co/IQB0CKVy2Hf-Rog31SUnwrBhAdgYEabMNfTNwbyj6HFpHvY" TargetMode="External"/><Relationship Id="rId106" Type="http://schemas.openxmlformats.org/officeDocument/2006/relationships/hyperlink" Target="https://grupoprisa-my.sharepoint.com/:p:/g/personal/juangodoy_est_caracol_com_co/IQCj2CsmvVYPQbwEFnFSBcmAAco94eIF3h_E_nB3sVXtm70?e=ru2EIO" TargetMode="External"/><Relationship Id="rId10" Type="http://schemas.openxmlformats.org/officeDocument/2006/relationships/hyperlink" Target="https://grupoprisa-my.sharepoint.com/:p:/r/personal/juangodoy_est_caracol_com_co/Documents/Attachments/PROPUESTA%20NIKE.pptx?d=w154211e9c50f4043abe0794d8da6eb65&amp;csf=1&amp;web=1&amp;e=fiGWin" TargetMode="External"/><Relationship Id="rId31" Type="http://schemas.openxmlformats.org/officeDocument/2006/relationships/hyperlink" Target="https://grupoprisa-my.sharepoint.com/:p:/r/personal/nicolas_bermudez_caracol_com_co/Documents/DIGITAL/Productos%20Digitales/Producto_Digital_LIVING%20EXPERIENCE.pptx?d=w03c474b901ac4050a6c4f2be72738ad8&amp;csf=1&amp;web=1&amp;e=5vDbNJ" TargetMode="External"/><Relationship Id="rId44" Type="http://schemas.openxmlformats.org/officeDocument/2006/relationships/hyperlink" Target="https://grupoprisa-my.sharepoint.com/:p:/r/personal/nicolas_bermudez_caracol_com_co/Documents/DIGITAL/Productos%20Digitales/Presentaci%C3%B3n%20Escape%20Game%20-%20Fontanar.pptx?d=w83e1ed9dff2140399e667973fbc75511&amp;csf=1&amp;web=1&amp;e=OwlmN8" TargetMode="External"/><Relationship Id="rId52" Type="http://schemas.openxmlformats.org/officeDocument/2006/relationships/hyperlink" Target="https://grupoprisa-my.sharepoint.com/:p:/g/personal/juangodoy_est_caracol_com_co/IQDt8tsKVVVCQ5-CP2-kt6QNAWhUeISgFem7AngGkynLkuw" TargetMode="External"/><Relationship Id="rId60" Type="http://schemas.openxmlformats.org/officeDocument/2006/relationships/hyperlink" Target="https://grupoprisa-my.sharepoint.com/:p:/g/personal/juangodoy_est_caracol_com_co/IQCGhLx5YlduTqJn4i-mrahIAXd_c32-9RURQLfTRVVziwA" TargetMode="External"/><Relationship Id="rId65" Type="http://schemas.openxmlformats.org/officeDocument/2006/relationships/hyperlink" Target="https://grupoprisa-my.sharepoint.com/:p:/r/personal/jonathanvel_est_caracol_com_co/Documents/Datos%20adjuntos/CAJAR%20+%20LOS%2040%20+%20TROPICANA%20+%20CARACOL.pptx?d=w080c4fd202ee48828d5b607bb1960420&amp;csf=1&amp;web=1&amp;e=LT5RUn" TargetMode="External"/><Relationship Id="rId73" Type="http://schemas.openxmlformats.org/officeDocument/2006/relationships/hyperlink" Target="https://grupoprisa-my.sharepoint.com/:p:/r/personal/jonathanvel_est_caracol_com_co/Documents/Datos%20adjuntos/TEATRO%20NACIONAL%20+%20RADIOACKTIVA%20+%20B%C3%89SAME%20+%20CARACOL%20RADIO.pptx?d=w7e46a3eda50e419d8d534dc79d2f02f6&amp;csf=1&amp;web=1&amp;e=2JPebW" TargetMode="External"/><Relationship Id="rId78" Type="http://schemas.openxmlformats.org/officeDocument/2006/relationships/hyperlink" Target="https://grupoprisa-my.sharepoint.com/:p:/g/personal/juangodoy_est_caracol_com_co/IQC5Lq2L-EahQaYTGUiSfYjZAcOZY3ugIVEC0SuMov2GuYY" TargetMode="External"/><Relationship Id="rId81" Type="http://schemas.openxmlformats.org/officeDocument/2006/relationships/hyperlink" Target="https://grupoprisa-my.sharepoint.com/:x:/g/personal/juangodoy_est_caracol_com_co/IQC7dEXj8QFGRaf0N_eq9jd3AYD5rr7Fs5QFXt3K_0MCVOk?e=Fxaikd" TargetMode="External"/><Relationship Id="rId86" Type="http://schemas.openxmlformats.org/officeDocument/2006/relationships/hyperlink" Target="https://grupoprisa-my.sharepoint.com/:p:/r/personal/nicolas_bermudez_caracol_com_co/Documents/DIGITAL/Productos%20Digitales/PROPUESTA%20DIGITAL%20-%20INTEL.pptx?d=w8cd06579e657467190457efdfa232995&amp;csf=1&amp;web=1&amp;e=I2XeER" TargetMode="External"/><Relationship Id="rId94" Type="http://schemas.openxmlformats.org/officeDocument/2006/relationships/hyperlink" Target="https://grupoprisa-my.sharepoint.com/:p:/g/personal/jonathanvel_est_caracol_com_co/IQDkALcde5A9SIp5rR9fo9TYAe-oYU88jqtS-UoGu6Ton14?e=dwz584" TargetMode="External"/><Relationship Id="rId99" Type="http://schemas.openxmlformats.org/officeDocument/2006/relationships/hyperlink" Target="https://grupoprisa-my.sharepoint.com/:p:/r/personal/jonathanvel_est_caracol_com_co/Documents/Datos%20adjuntos/ALQUERIA%20+%20TROPICANA.pptx?d=w492b57ec188744a5810a9db6e9c5b7a5&amp;csf=1&amp;web=1&amp;e=wSczfy" TargetMode="External"/><Relationship Id="rId101" Type="http://schemas.openxmlformats.org/officeDocument/2006/relationships/hyperlink" Target="https://grupoprisa-my.sharepoint.com/:p:/g/personal/jonathanvel_est_caracol_com_co/IQBZ63Zp016vS7uXYbCF8tSOAfckY2jRmRs0k7-EnTR4YWo?e=u3XudK" TargetMode="External"/><Relationship Id="rId4" Type="http://schemas.openxmlformats.org/officeDocument/2006/relationships/hyperlink" Target="https://grupoprisa-my.sharepoint.com/:p:/r/personal/nicolas_bermudez_caracol_com_co/Documents/DIGITAL/Productos%20Digitales/Producto_Digital_EN%20EQUILIBRIO.pptx?d=wb1819d1c0ebe4d3784407122ba91d6bf&amp;csf=1&amp;web=1&amp;e=zOHsh7" TargetMode="External"/><Relationship Id="rId9" Type="http://schemas.openxmlformats.org/officeDocument/2006/relationships/hyperlink" Target="https://grupoprisa-my.sharepoint.com/:p:/r/personal/juangodoy_est_caracol_com_co/Documents/Attachments/PROPUESTA%20COMERCIAL%20HONOR.pptx?d=w9b49ccbc7cb64383957d69d046a07fc3&amp;csf=1&amp;web=1&amp;e=YGnjWK" TargetMode="External"/><Relationship Id="rId13" Type="http://schemas.openxmlformats.org/officeDocument/2006/relationships/hyperlink" Target="https://grupoprisa-my.sharepoint.com/:p:/r/personal/sthefanie_botello_caracol_com_co/Documents/Attachments/FALABELLA%20SHOPPING%20EXPERIENCE.pptx?d=w0b3200f1b1a247a88b058b5977a78b00&amp;csf=1&amp;web=1&amp;e=BjDwct" TargetMode="External"/><Relationship Id="rId18" Type="http://schemas.openxmlformats.org/officeDocument/2006/relationships/hyperlink" Target="https://canva.link/7gihh7hu1w85rtl" TargetMode="External"/><Relationship Id="rId39" Type="http://schemas.openxmlformats.org/officeDocument/2006/relationships/hyperlink" Target="https://grupoprisa-my.sharepoint.com/:p:/r/personal/nicolas_bermudez_caracol_com_co/Documents/DIGITAL/Productos%20Digitales/PROPUESTA%20HP.pptx?d=w8dce01d439954fdeaeb2f567d8e5404a&amp;csf=1&amp;web=1&amp;e=GskOjE" TargetMode="External"/><Relationship Id="rId109" Type="http://schemas.openxmlformats.org/officeDocument/2006/relationships/hyperlink" Target="https://grupoprisa-my.sharepoint.com/:p:/g/personal/juangodoy_est_caracol_com_co/IQBB93UZVtT8RJgRLOWE2haoAQVEFcQNUz42AUcCyCprSfc?e=UnFCwc" TargetMode="External"/><Relationship Id="rId34" Type="http://schemas.openxmlformats.org/officeDocument/2006/relationships/hyperlink" Target="https://grupoprisa-my.sharepoint.com/:p:/r/personal/nicolas_bermudez_caracol_com_co/Documents/DIGITAL/Productos%20Digitales/FRANQUICIAS%20PRISA.pptx?d=w7ca6bbbb9fc144d090b1822bae074d33&amp;csf=1&amp;web=1&amp;e=MjSN1h" TargetMode="External"/><Relationship Id="rId50" Type="http://schemas.openxmlformats.org/officeDocument/2006/relationships/hyperlink" Target="https://grupoprisa-my.sharepoint.com/:p:/g/personal/juangodoy_est_caracol_com_co/IQAuRQ4M4MybSKdmulQHytkvAdgW78pcdvX9Moj25CNSZUU" TargetMode="External"/><Relationship Id="rId55" Type="http://schemas.openxmlformats.org/officeDocument/2006/relationships/hyperlink" Target="https://grupoprisa-my.sharepoint.com/:p:/g/personal/jonathanvel_est_caracol_com_co/IQCJ5eFWjit3QYsHau7udW9ZAYeTDm3mQYlD1y8xI1dtC04?e=aSYvaJ" TargetMode="External"/><Relationship Id="rId76" Type="http://schemas.openxmlformats.org/officeDocument/2006/relationships/hyperlink" Target="https://grupoprisa-my.sharepoint.com/:p:/g/personal/juangodoy_est_caracol_com_co/IQBb6K_mtfKBTL6Ihx0U1t35AX4otYjqeiQUDOa0Uc09Axk" TargetMode="External"/><Relationship Id="rId97" Type="http://schemas.openxmlformats.org/officeDocument/2006/relationships/hyperlink" Target="https://grupoprisa-my.sharepoint.com/:x:/r/personal/sthefanie_botello_caracol_com_co/Documents/Attachments/FUN%20-%20PROPUESTA%20DIGITAL%20-%20NESTOGENO%201.xlsx?d=w01bd3a53fb3a4f4a9d60fe4df5f14db2&amp;csf=1&amp;web=1&amp;e=TJGyKR" TargetMode="External"/><Relationship Id="rId104" Type="http://schemas.openxmlformats.org/officeDocument/2006/relationships/hyperlink" Target="https://grupoprisa-my.sharepoint.com/:p:/g/personal/juangodoy_est_caracol_com_co/IQDxcoPO4jfpS5edDh86u97VAVd0VKaFZBcq9Om-tcnhrgg?e=iMxQwn" TargetMode="External"/><Relationship Id="rId7" Type="http://schemas.openxmlformats.org/officeDocument/2006/relationships/hyperlink" Target="https://grupoprisa-my.sharepoint.com/:p:/g/personal/juangodoy_est_caracol_com_co/IQAbvqSuk_j7R6fukUVkjx7zATXZHTUC5Rp49sx_jKdXR4A?e=kuUIR2" TargetMode="External"/><Relationship Id="rId71" Type="http://schemas.openxmlformats.org/officeDocument/2006/relationships/hyperlink" Target="https://grupoprisa-my.sharepoint.com/:p:/r/personal/jonathanvel_est_caracol_com_co/Documents/Datos%20adjuntos/GRAN%20ESTACI%C3%93N%20-%20%20PRISA%20MEDIA.pptx?d=wa13cb38db90b413f93dff9631e9484bd&amp;csf=1&amp;web=1&amp;e=mn0eex" TargetMode="External"/><Relationship Id="rId92" Type="http://schemas.openxmlformats.org/officeDocument/2006/relationships/hyperlink" Target="https://grupoprisa-my.sharepoint.com/:p:/g/personal/jonathanvel_est_caracol_com_co/IQAEzmF09SOpS5t40XJce0D9AZl2hVFk9mxwQ5tY_p-DaqY?e=9EZWRH" TargetMode="External"/><Relationship Id="rId2" Type="http://schemas.openxmlformats.org/officeDocument/2006/relationships/hyperlink" Target="https://grupoprisa-my.sharepoint.com/:p:/r/personal/nicolas_bermudez_caracol_com_co/Documents/DIGITAL/Productos%20Digitales/Producto_Digital-EL%20MUNDIAL%20SE%20JUEGA%20CON%20BIOMAX.pptx?d=w2ef85ceb9ef04c3284ee9e36949a1c8f&amp;csf=1&amp;web=1&amp;e=OS90Gr" TargetMode="External"/><Relationship Id="rId29" Type="http://schemas.openxmlformats.org/officeDocument/2006/relationships/hyperlink" Target="https://grupoprisa-my.sharepoint.com/:p:/r/personal/nicolas_bermudez_caracol_com_co/Documents/DIGITAL/Productos%20Digitales/Producto_Digital_FRANQUICIA%20MUNDIALISTA.pptx?d=w36c7626569ee4ab682c5477223cd13d9&amp;csf=1&amp;web=1&amp;e=r1BjwX" TargetMode="External"/><Relationship Id="rId24" Type="http://schemas.openxmlformats.org/officeDocument/2006/relationships/hyperlink" Target="https://grupoprisa-my.sharepoint.com/:p:/r/personal/sthefanie_botello_caracol_com_co/Documents/Escritorio/Productos%20digitales/PRODUCTO%20DIGITAL-DEL%20PLAY%20AL%20SHOW.pptx?d=w5fac09fe43e34ea7b432844787f5678b&amp;csf=1&amp;web=1&amp;e=Ef4hg2" TargetMode="External"/><Relationship Id="rId40" Type="http://schemas.openxmlformats.org/officeDocument/2006/relationships/hyperlink" Target="https://grupoprisa-my.sharepoint.com/:p:/r/personal/nicolas_bermudez_caracol_com_co/Documents/DIGITAL/Productos%20Digitales/PROPUESTA%20PARAMO%20PRESENTA.pptx?d=wff3779aa17ab46bb9411ce28b813d033&amp;csf=1&amp;web=1&amp;e=YEErhn" TargetMode="External"/><Relationship Id="rId45" Type="http://schemas.openxmlformats.org/officeDocument/2006/relationships/hyperlink" Target="https://grupoprisa-my.sharepoint.com/:p:/r/personal/nicolas_bermudez_caracol_com_co/Documents/DIGITAL/Productos%20Digitales/Producto_Digital-LA%20GRAN%20FIESTA%20DEL%20FESTIVERSARIO.pptx?d=w5ca56b07ff3b4813a1a4b3145c606e4d&amp;csf=1&amp;web=1&amp;e=2oCjaw" TargetMode="External"/><Relationship Id="rId66" Type="http://schemas.openxmlformats.org/officeDocument/2006/relationships/hyperlink" Target="https://grupoprisa-my.sharepoint.com/:p:/r/personal/jonathanvel_est_caracol_com_co/Documents/Datos%20adjuntos/TELEPORT%20ROYAL%20-%20CARACOL.pptx?d=wc480b2976e8a41ba963977348f97ab1b&amp;csf=1&amp;web=1&amp;e=Ql0tum" TargetMode="External"/><Relationship Id="rId87" Type="http://schemas.openxmlformats.org/officeDocument/2006/relationships/hyperlink" Target="https://grupoprisa-my.sharepoint.com/:p:/r/personal/juangodoy_est_caracol_com_co/Documents/Attachments/PROPUESTA%20CONSTRUCTORA%20BOLIVAR.pptx?d=w65e3caf16be8490d86037d86e5941d8d&amp;csf=1&amp;web=1&amp;e=fAKbGN" TargetMode="External"/><Relationship Id="rId110" Type="http://schemas.openxmlformats.org/officeDocument/2006/relationships/hyperlink" Target="https://grupoprisa-my.sharepoint.com/:p:/g/personal/juangodoy_est_caracol_com_co/IQDlZXWDbdJsQaNBsXpqMQbWAQKeryAwM2C0DXYf29eDI6I?e=BToWTJ" TargetMode="External"/><Relationship Id="rId61" Type="http://schemas.openxmlformats.org/officeDocument/2006/relationships/hyperlink" Target="https://grupoprisa-my.sharepoint.com/:p:/g/personal/juangodoy_est_caracol_com_co/IQAqldrPuxt6T7iyefkTMCkXAS3ttotlJht6BvoleB0Bgts" TargetMode="External"/><Relationship Id="rId82" Type="http://schemas.openxmlformats.org/officeDocument/2006/relationships/hyperlink" Target="https://grupoprisa-my.sharepoint.com/:p:/r/personal/jonathanvel_est_caracol_com_co/Documents/Datos%20adjuntos/FORD%20+%20CARACOL%20RADIO%20+%20RADIOACKTIVA.pptx?d=w533b15ebf6424b52a0786c919dc1bb99&amp;csf=1&amp;web=1&amp;e=UccbWv" TargetMode="External"/><Relationship Id="rId19" Type="http://schemas.openxmlformats.org/officeDocument/2006/relationships/hyperlink" Target="https://grupoprisa-my.sharepoint.com/:p:/r/personal/juangodoy_est_caracol_com_co/Documents/Attachments/PROPUESTA%20HALEON.pptx?d=wea3c596aab5c40f4b1264d745347de67&amp;csf=1&amp;web=1&amp;e=aGJ5dM" TargetMode="External"/><Relationship Id="rId14" Type="http://schemas.openxmlformats.org/officeDocument/2006/relationships/hyperlink" Target="https://grupoprisa-my.sharepoint.com/:p:/r/personal/sthefanie_botello_caracol_com_co/Documents/Escritorio/Productos%20digitales/PRODUCTO%20DIGITAL%20-%20LA%20BUENA.pptx?d=wfbb30cde9e8d40cfaf6bd3cf8a188db5&amp;csf=1&amp;web=1&amp;e=mAb4Vk" TargetMode="External"/><Relationship Id="rId30" Type="http://schemas.openxmlformats.org/officeDocument/2006/relationships/hyperlink" Target="https://grupoprisa-my.sharepoint.com/:p:/r/personal/nicolas_bermudez_caracol_com_co/Documents/DIGITAL/Productos%20Digitales/Producto_Digital_Universo%20Beauty.pptx?d=w3178e7a4549a46dc893564d4ae51bcf0&amp;csf=1&amp;web=1&amp;e=rr5HPV" TargetMode="External"/><Relationship Id="rId35" Type="http://schemas.openxmlformats.org/officeDocument/2006/relationships/hyperlink" Target="https://grupoprisa-my.sharepoint.com/:p:/r/personal/nicolas_bermudez_caracol_com_co/Documents/DIGITAL/Productos%20Digitales/21-Producto_Digital_ECOSISTEMA-WHATSAPP.pptx?d=wfe907c9ed6394f5aa676f5c16a465b16&amp;csf=1&amp;web=1&amp;e=FI3HNw" TargetMode="External"/><Relationship Id="rId56" Type="http://schemas.openxmlformats.org/officeDocument/2006/relationships/hyperlink" Target="https://grupoprisa-my.sharepoint.com/:p:/g/personal/jonathanvel_est_caracol_com_co/IQA9v97T5zv8SI81xWunnMG2ATW_f-TU0y_cVw8cNKCtpjs?e=ObtWH4" TargetMode="External"/><Relationship Id="rId77" Type="http://schemas.openxmlformats.org/officeDocument/2006/relationships/hyperlink" Target="https://grupoprisa-my.sharepoint.com/:p:/g/personal/juangodoy_est_caracol_com_co/IQDmBamp6Ul0Q69nQD7tvhhLAZvqs7i6e3z42YFyzBtv6Rg" TargetMode="External"/><Relationship Id="rId100" Type="http://schemas.openxmlformats.org/officeDocument/2006/relationships/hyperlink" Target="https://grupoprisa-my.sharepoint.com/:p:/g/personal/juangodoy_est_caracol_com_co/IQAqhQYO6LHuTbnc0IrjgNUbAQMJA_5KoH_G7G8VBt8W-Wc?e=eDX9PP" TargetMode="External"/><Relationship Id="rId105" Type="http://schemas.openxmlformats.org/officeDocument/2006/relationships/hyperlink" Target="https://grupoprisa-my.sharepoint.com/:p:/g/personal/juangodoy_est_caracol_com_co/IQAZiGv6s-qwRZPi_NrSHCqJAeTMvLttCy_oGTCs1eVlQPo?e=7Ro3Xf" TargetMode="External"/><Relationship Id="rId8" Type="http://schemas.openxmlformats.org/officeDocument/2006/relationships/hyperlink" Target="https://grupoprisa-my.sharepoint.com/:p:/r/personal/juangodoy_est_caracol_com_co/Documents/Attachments/PROPUESTA%20ADIDAS.pptx?d=w1ec839ae925a4a95aef2477dd997afc1&amp;csf=1&amp;web=1&amp;e=W7WesK" TargetMode="External"/><Relationship Id="rId51" Type="http://schemas.openxmlformats.org/officeDocument/2006/relationships/hyperlink" Target="https://grupoprisa-my.sharepoint.com/:p:/g/personal/juangodoy_est_caracol_com_co/IQCvZTmvR_RlQLedDnW4fsloATxFmTeNWcAtMsTUU7NKz2A" TargetMode="External"/><Relationship Id="rId72" Type="http://schemas.openxmlformats.org/officeDocument/2006/relationships/hyperlink" Target="https://grupoprisa-my.sharepoint.com/:p:/r/personal/jonathanvel_est_caracol_com_co/Documents/Datos%20adjuntos/ALKOMPRAR%20-%20%20PRISA%20MEDIA.pptx?d=w0322efc0ce9242cfb3449ab3f4cada72&amp;csf=1&amp;web=1&amp;e=UbVNwf" TargetMode="External"/><Relationship Id="rId93" Type="http://schemas.openxmlformats.org/officeDocument/2006/relationships/hyperlink" Target="https://grupoprisa-my.sharepoint.com/:p:/g/personal/jonathanvel_est_caracol_com_co/IQAEzmF09SOpS5t40XJce0D9AZl2hVFk9mxwQ5tY_p-DaqY?e=9EZWRH" TargetMode="External"/><Relationship Id="rId98" Type="http://schemas.openxmlformats.org/officeDocument/2006/relationships/hyperlink" Target="https://grupoprisa-my.sharepoint.com/:p:/r/personal/sthefanie_botello_caracol_com_co/Documents/Attachments/CASA%20LUKER%20+%20TROPICANA.pptx?d=w84f9504d1dd94ad5a836ba08730da88c&amp;csf=1&amp;web=1&amp;e=GWbodN" TargetMode="External"/><Relationship Id="rId3" Type="http://schemas.openxmlformats.org/officeDocument/2006/relationships/hyperlink" Target="https://grupoprisa-my.sharepoint.com/:p:/r/personal/juangodoy_est_caracol_com_co/Documents/PROPUESTAS%20ELABORADAS%20JUAN%20PABLO%20GODOY/PRODUCTO%20DIGITAL%20DISTOYOTA.pptx?d=w3a07582c984d42f8ac91d084458ee283&amp;csf=1&amp;web=1&amp;e=L9aBVQ" TargetMode="External"/><Relationship Id="rId25" Type="http://schemas.openxmlformats.org/officeDocument/2006/relationships/hyperlink" Target="https://grupoprisa-my.sharepoint.com/:p:/r/personal/nicolas_bermudez_caracol_com_co/Documents/DIGITAL/Productos%20Digitales/PRODUCTO%20DIGITAL-LA%20RUTA%20DEL%20GOL.pptx?d=w32d42fec2b514590bae84a5e970e8272&amp;csf=1&amp;web=1&amp;e=KQiV6K" TargetMode="External"/><Relationship Id="rId46" Type="http://schemas.openxmlformats.org/officeDocument/2006/relationships/hyperlink" Target="https://grupoprisa-my.sharepoint.com/:p:/r/personal/nicolas_bermudez_caracol_com_co/Documents/DIGITAL/Productos%20Digitales/MAPA%20DEL%20ULTIMO%201_%20-%20VANTI%20-%20TROPICANA%20(1).pptx?d=w4e4aa5bcd4f1450290e160dc423311a0&amp;csf=1&amp;web=1&amp;e=LqUoNh" TargetMode="External"/><Relationship Id="rId67" Type="http://schemas.openxmlformats.org/officeDocument/2006/relationships/hyperlink" Target="https://grupoprisa-my.sharepoint.com/:p:/r/personal/jonathanvel_est_caracol_com_co/Documents/Datos%20adjuntos/CLICK%20+%20CARACOL%20RADIO.pptx?d=w3e86ad77803a40ac851a9869c5ca187a&amp;csf=1&amp;web=1&amp;e=l76Lnu" TargetMode="External"/><Relationship Id="rId20" Type="http://schemas.openxmlformats.org/officeDocument/2006/relationships/hyperlink" Target="https://grupoprisa-my.sharepoint.com/:p:/r/personal/nicolas_bermudez_caracol_com_co/Documents/DIGITAL/Productos%20Digitales/PRODUCTO%20DIGITAL%20-%20CERVEZA%20CORONA.pptx?d=w67d71f84ad274c92809a7e8a896612eb&amp;csf=1&amp;web=1&amp;e=iiGesd" TargetMode="External"/><Relationship Id="rId41" Type="http://schemas.openxmlformats.org/officeDocument/2006/relationships/hyperlink" Target="https://grupoprisa-my.sharepoint.com/:p:/g/personal/juangodoy_est_caracol_com_co/IQCYkmJrdbInS4u8M93JA0qcAZGDL-39y8dP9-zxG8YRQ3k" TargetMode="External"/><Relationship Id="rId62" Type="http://schemas.openxmlformats.org/officeDocument/2006/relationships/hyperlink" Target="https://grupoprisa-my.sharepoint.com/:p:/g/personal/juangodoy_est_caracol_com_co/IQBgenx7wVaETZKx1O05c59xAfDTwqRTyKtZA3cCenk4x2o" TargetMode="External"/><Relationship Id="rId83" Type="http://schemas.openxmlformats.org/officeDocument/2006/relationships/hyperlink" Target="https://grupoprisa-my.sharepoint.com/:p:/g/personal/juangodoy_est_caracol_com_co/IQDSJfomfIJgT7KLftXlzBQDAY2jMnJ12WAsTCMAuFQEmw8" TargetMode="External"/><Relationship Id="rId88" Type="http://schemas.openxmlformats.org/officeDocument/2006/relationships/hyperlink" Target="https://grupoprisa-my.sharepoint.com/:p:/g/personal/juangodoy_est_caracol_com_co/IQBELWKX0c5rQ4_2_3RiWptXAbzRD97wy3gy4dMtOdcqudA?e=9xA7dB" TargetMode="External"/><Relationship Id="rId11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1000"/>
  <sheetViews>
    <sheetView workbookViewId="0">
      <selection activeCell="D11" sqref="D11"/>
    </sheetView>
  </sheetViews>
  <sheetFormatPr defaultColWidth="12.5703125" defaultRowHeight="15" customHeight="1"/>
  <cols>
    <col min="1" max="1" width="2.85546875" style="1" customWidth="1"/>
    <col min="2" max="2" width="19.42578125" customWidth="1"/>
    <col min="3" max="3" width="21.7109375" customWidth="1"/>
    <col min="4" max="4" width="28.28515625" customWidth="1"/>
    <col min="5" max="5" width="16" customWidth="1"/>
    <col min="6" max="6" width="2.5703125" customWidth="1"/>
    <col min="7" max="7" width="20" customWidth="1"/>
    <col min="8" max="8" width="18.5703125" customWidth="1"/>
    <col min="9" max="9" width="24.42578125" customWidth="1"/>
    <col min="10" max="10" width="16.5703125" customWidth="1"/>
    <col min="11" max="11" width="4" customWidth="1"/>
    <col min="12" max="12" width="19.7109375" customWidth="1"/>
    <col min="13" max="13" width="18.5703125" customWidth="1"/>
    <col min="14" max="14" width="27.140625" customWidth="1"/>
    <col min="15" max="15" width="15.7109375" customWidth="1"/>
    <col min="16" max="16" width="2.42578125" customWidth="1"/>
    <col min="17" max="17" width="17.42578125" customWidth="1"/>
    <col min="18" max="18" width="18.5703125" customWidth="1"/>
    <col min="19" max="19" width="27.7109375" customWidth="1"/>
    <col min="20" max="20" width="15.7109375" customWidth="1"/>
    <col min="21" max="21" width="2.42578125" customWidth="1"/>
    <col min="22" max="23" width="18.5703125" customWidth="1"/>
    <col min="24" max="24" width="25.42578125" customWidth="1"/>
    <col min="25" max="25" width="15.7109375" customWidth="1"/>
    <col min="26" max="26" width="18.5703125" style="1" customWidth="1"/>
  </cols>
  <sheetData>
    <row r="1" spans="2:25" ht="21.75" customHeight="1">
      <c r="B1" s="258" t="s">
        <v>0</v>
      </c>
      <c r="C1" s="278"/>
      <c r="D1" s="278"/>
      <c r="E1" s="279"/>
      <c r="F1" s="2"/>
      <c r="G1" s="259" t="s">
        <v>1</v>
      </c>
      <c r="H1" s="280"/>
      <c r="I1" s="280"/>
      <c r="J1" s="281"/>
      <c r="K1" s="2"/>
      <c r="L1" s="260" t="s">
        <v>2</v>
      </c>
      <c r="M1" s="282"/>
      <c r="N1" s="282"/>
      <c r="O1" s="283"/>
      <c r="P1" s="2"/>
      <c r="Q1" s="254" t="s">
        <v>3</v>
      </c>
      <c r="R1" s="284"/>
      <c r="S1" s="284"/>
      <c r="T1" s="285"/>
      <c r="U1" s="2"/>
      <c r="V1" s="261" t="s">
        <v>4</v>
      </c>
      <c r="W1" s="286"/>
      <c r="X1" s="286"/>
      <c r="Y1" s="287"/>
    </row>
    <row r="2" spans="2:25" ht="21.75" customHeight="1">
      <c r="B2" s="265" t="s">
        <v>5</v>
      </c>
      <c r="C2" s="288"/>
      <c r="D2" s="288"/>
      <c r="E2" s="289"/>
      <c r="F2" s="2"/>
      <c r="G2" s="262" t="s">
        <v>5</v>
      </c>
      <c r="H2" s="290"/>
      <c r="I2" s="290"/>
      <c r="J2" s="291"/>
      <c r="K2" s="2"/>
      <c r="L2" s="263" t="s">
        <v>5</v>
      </c>
      <c r="M2" s="292"/>
      <c r="N2" s="292"/>
      <c r="O2" s="293"/>
      <c r="P2" s="2"/>
      <c r="Q2" s="255" t="s">
        <v>5</v>
      </c>
      <c r="R2" s="294"/>
      <c r="S2" s="294"/>
      <c r="T2" s="295"/>
      <c r="U2" s="2"/>
      <c r="V2" s="264" t="s">
        <v>5</v>
      </c>
      <c r="W2" s="296"/>
      <c r="X2" s="296"/>
      <c r="Y2" s="297"/>
    </row>
    <row r="3" spans="2:25" ht="21.75" customHeight="1">
      <c r="B3" s="266"/>
      <c r="C3" s="288"/>
      <c r="D3" s="288"/>
      <c r="E3" s="289"/>
      <c r="F3" s="2"/>
      <c r="G3" s="262"/>
      <c r="H3" s="290"/>
      <c r="I3" s="290"/>
      <c r="J3" s="291"/>
      <c r="K3" s="2"/>
      <c r="L3" s="263"/>
      <c r="M3" s="292"/>
      <c r="N3" s="292"/>
      <c r="O3" s="293"/>
      <c r="P3" s="3"/>
      <c r="Q3" s="256"/>
      <c r="R3" s="294"/>
      <c r="S3" s="294"/>
      <c r="T3" s="295"/>
      <c r="U3" s="4"/>
      <c r="V3" s="257"/>
      <c r="W3" s="296"/>
      <c r="X3" s="296"/>
      <c r="Y3" s="297"/>
    </row>
    <row r="4" spans="2:25" ht="21.75" customHeight="1">
      <c r="B4" s="5" t="s">
        <v>6</v>
      </c>
      <c r="C4" s="6" t="s">
        <v>7</v>
      </c>
      <c r="D4" s="6" t="s">
        <v>8</v>
      </c>
      <c r="E4" s="7" t="s">
        <v>9</v>
      </c>
      <c r="F4" s="8"/>
      <c r="G4" s="9" t="s">
        <v>6</v>
      </c>
      <c r="H4" s="10" t="s">
        <v>7</v>
      </c>
      <c r="I4" s="10" t="s">
        <v>8</v>
      </c>
      <c r="J4" s="11" t="s">
        <v>9</v>
      </c>
      <c r="K4" s="8"/>
      <c r="L4" s="12" t="s">
        <v>6</v>
      </c>
      <c r="M4" s="13" t="s">
        <v>7</v>
      </c>
      <c r="N4" s="13" t="s">
        <v>8</v>
      </c>
      <c r="O4" s="14" t="s">
        <v>9</v>
      </c>
      <c r="P4" s="8"/>
      <c r="Q4" s="15" t="s">
        <v>6</v>
      </c>
      <c r="R4" s="16" t="s">
        <v>7</v>
      </c>
      <c r="S4" s="16" t="s">
        <v>8</v>
      </c>
      <c r="T4" s="17" t="s">
        <v>9</v>
      </c>
      <c r="U4" s="8"/>
      <c r="V4" s="18" t="s">
        <v>6</v>
      </c>
      <c r="W4" s="19" t="s">
        <v>7</v>
      </c>
      <c r="X4" s="19" t="s">
        <v>8</v>
      </c>
      <c r="Y4" s="20" t="s">
        <v>9</v>
      </c>
    </row>
    <row r="5" spans="2:25" ht="21.75" customHeight="1">
      <c r="B5" s="21"/>
      <c r="C5" s="22" t="s">
        <v>10</v>
      </c>
      <c r="D5" s="23"/>
      <c r="E5" s="24"/>
      <c r="F5" s="1"/>
      <c r="G5" s="25"/>
      <c r="H5" s="26" t="s">
        <v>11</v>
      </c>
      <c r="I5" s="27"/>
      <c r="J5" s="28"/>
      <c r="K5" s="1"/>
      <c r="L5" s="29"/>
      <c r="M5" s="30" t="s">
        <v>12</v>
      </c>
      <c r="N5" s="30" t="s">
        <v>13</v>
      </c>
      <c r="O5" s="31"/>
      <c r="P5" s="4"/>
      <c r="Q5" s="32"/>
      <c r="R5" s="33" t="s">
        <v>14</v>
      </c>
      <c r="S5" s="33"/>
      <c r="T5" s="34"/>
      <c r="U5" s="4"/>
      <c r="V5" s="35"/>
      <c r="W5" s="36" t="s">
        <v>15</v>
      </c>
      <c r="X5" s="19"/>
      <c r="Y5" s="37"/>
    </row>
    <row r="6" spans="2:25" ht="21.75" customHeight="1">
      <c r="B6" s="21"/>
      <c r="C6" s="22" t="s">
        <v>16</v>
      </c>
      <c r="D6" s="22"/>
      <c r="E6" s="38"/>
      <c r="F6" s="4"/>
      <c r="G6" s="39"/>
      <c r="H6" s="27" t="s">
        <v>17</v>
      </c>
      <c r="I6" s="27"/>
      <c r="J6" s="40"/>
      <c r="K6" s="4"/>
      <c r="L6" s="29"/>
      <c r="M6" s="30" t="s">
        <v>18</v>
      </c>
      <c r="N6" s="30" t="s">
        <v>19</v>
      </c>
      <c r="O6" s="31"/>
      <c r="P6" s="4"/>
      <c r="Q6" s="32"/>
      <c r="R6" s="33" t="s">
        <v>20</v>
      </c>
      <c r="S6" s="33"/>
      <c r="T6" s="34"/>
      <c r="U6" s="4"/>
      <c r="V6" s="35"/>
      <c r="W6" s="36" t="s">
        <v>21</v>
      </c>
      <c r="X6" s="19"/>
      <c r="Y6" s="37"/>
    </row>
    <row r="7" spans="2:25" ht="21.75" customHeight="1">
      <c r="B7" s="21"/>
      <c r="C7" s="22" t="s">
        <v>22</v>
      </c>
      <c r="D7" s="22"/>
      <c r="E7" s="38"/>
      <c r="F7" s="4"/>
      <c r="G7" s="39"/>
      <c r="H7" s="27" t="s">
        <v>23</v>
      </c>
      <c r="I7" s="27"/>
      <c r="J7" s="40"/>
      <c r="K7" s="4"/>
      <c r="L7" s="29"/>
      <c r="M7" s="30" t="s">
        <v>24</v>
      </c>
      <c r="N7" s="30" t="s">
        <v>25</v>
      </c>
      <c r="O7" s="31"/>
      <c r="P7" s="4"/>
      <c r="Q7" s="32"/>
      <c r="R7" s="33" t="s">
        <v>26</v>
      </c>
      <c r="S7" s="33"/>
      <c r="T7" s="34"/>
      <c r="U7" s="4"/>
      <c r="V7" s="35"/>
      <c r="W7" s="36" t="s">
        <v>27</v>
      </c>
      <c r="X7" s="19"/>
      <c r="Y7" s="37"/>
    </row>
    <row r="8" spans="2:25" ht="21.75" customHeight="1">
      <c r="B8" s="21"/>
      <c r="C8" s="22" t="s">
        <v>28</v>
      </c>
      <c r="D8" s="22"/>
      <c r="E8" s="38"/>
      <c r="F8" s="4"/>
      <c r="G8" s="39"/>
      <c r="H8" s="27" t="s">
        <v>29</v>
      </c>
      <c r="I8" s="27"/>
      <c r="J8" s="40"/>
      <c r="K8" s="4"/>
      <c r="L8" s="29"/>
      <c r="M8" s="30" t="s">
        <v>30</v>
      </c>
      <c r="N8" s="30" t="s">
        <v>31</v>
      </c>
      <c r="O8" s="31"/>
      <c r="P8" s="4"/>
      <c r="Q8" s="32"/>
      <c r="R8" s="33" t="s">
        <v>32</v>
      </c>
      <c r="S8" s="33"/>
      <c r="T8" s="34"/>
      <c r="U8" s="4"/>
      <c r="V8" s="35"/>
      <c r="W8" s="36" t="s">
        <v>33</v>
      </c>
      <c r="X8" s="19"/>
      <c r="Y8" s="37"/>
    </row>
    <row r="9" spans="2:25" ht="21.75" customHeight="1">
      <c r="B9" s="21"/>
      <c r="C9" s="22" t="s">
        <v>34</v>
      </c>
      <c r="D9" s="22" t="s">
        <v>35</v>
      </c>
      <c r="E9" s="38"/>
      <c r="F9" s="4"/>
      <c r="G9" s="39"/>
      <c r="H9" s="27" t="s">
        <v>36</v>
      </c>
      <c r="I9" s="27"/>
      <c r="J9" s="40"/>
      <c r="K9" s="4"/>
      <c r="L9" s="29"/>
      <c r="M9" s="30" t="s">
        <v>37</v>
      </c>
      <c r="N9" s="30" t="s">
        <v>38</v>
      </c>
      <c r="O9" s="31"/>
      <c r="P9" s="4"/>
      <c r="Q9" s="32"/>
      <c r="R9" s="33" t="s">
        <v>39</v>
      </c>
      <c r="S9" s="33"/>
      <c r="T9" s="34"/>
      <c r="U9" s="4"/>
      <c r="V9" s="35"/>
      <c r="W9" s="36" t="s">
        <v>40</v>
      </c>
      <c r="X9" s="19"/>
      <c r="Y9" s="37"/>
    </row>
    <row r="10" spans="2:25" ht="31.5" customHeight="1">
      <c r="B10" s="21"/>
      <c r="C10" s="22" t="s">
        <v>41</v>
      </c>
      <c r="D10" s="22"/>
      <c r="E10" s="38"/>
      <c r="F10" s="4"/>
      <c r="G10" s="41"/>
      <c r="H10" s="42" t="s">
        <v>42</v>
      </c>
      <c r="I10" s="42"/>
      <c r="J10" s="43"/>
      <c r="K10" s="4"/>
      <c r="L10" s="29"/>
      <c r="M10" s="30" t="s">
        <v>43</v>
      </c>
      <c r="N10" s="30" t="s">
        <v>44</v>
      </c>
      <c r="O10" s="31"/>
      <c r="P10" s="4"/>
      <c r="Q10" s="32"/>
      <c r="R10" s="33" t="s">
        <v>45</v>
      </c>
      <c r="S10" s="33"/>
      <c r="T10" s="34"/>
      <c r="U10" s="4"/>
      <c r="V10" s="35"/>
      <c r="W10" s="36" t="s">
        <v>46</v>
      </c>
      <c r="X10" s="44" t="s">
        <v>47</v>
      </c>
      <c r="Y10" s="37"/>
    </row>
    <row r="11" spans="2:25" ht="66.75" customHeight="1">
      <c r="B11" s="21"/>
      <c r="C11" s="22" t="s">
        <v>48</v>
      </c>
      <c r="D11" s="22"/>
      <c r="E11" s="38"/>
      <c r="F11" s="4"/>
      <c r="G11" s="45" t="s">
        <v>49</v>
      </c>
      <c r="H11" s="268"/>
      <c r="I11" s="280"/>
      <c r="J11" s="281"/>
      <c r="K11" s="46"/>
      <c r="L11" s="47"/>
      <c r="M11" s="30" t="s">
        <v>50</v>
      </c>
      <c r="N11" s="30" t="s">
        <v>51</v>
      </c>
      <c r="O11" s="31"/>
      <c r="P11" s="4"/>
      <c r="Q11" s="48"/>
      <c r="R11" s="33" t="s">
        <v>52</v>
      </c>
      <c r="S11" s="33"/>
      <c r="T11" s="34"/>
      <c r="U11" s="49"/>
      <c r="V11" s="50"/>
      <c r="W11" s="36" t="s">
        <v>53</v>
      </c>
      <c r="X11" s="51" t="s">
        <v>54</v>
      </c>
      <c r="Y11" s="37"/>
    </row>
    <row r="12" spans="2:25" ht="21.75" customHeight="1">
      <c r="B12" s="21"/>
      <c r="C12" s="22" t="s">
        <v>55</v>
      </c>
      <c r="D12" s="22"/>
      <c r="E12" s="38"/>
      <c r="F12" s="4"/>
      <c r="G12" s="52" t="s">
        <v>56</v>
      </c>
      <c r="H12" s="269" t="s">
        <v>57</v>
      </c>
      <c r="I12" s="290"/>
      <c r="J12" s="291"/>
      <c r="K12" s="4"/>
      <c r="L12" s="53"/>
      <c r="M12" s="54"/>
      <c r="N12" s="54"/>
      <c r="O12" s="55"/>
      <c r="P12" s="4"/>
      <c r="Q12" s="32"/>
      <c r="R12" s="33" t="s">
        <v>58</v>
      </c>
      <c r="S12" s="33"/>
      <c r="T12" s="34"/>
      <c r="U12" s="4"/>
      <c r="V12" s="35"/>
      <c r="W12" s="36" t="s">
        <v>59</v>
      </c>
      <c r="X12" s="56" t="s">
        <v>60</v>
      </c>
      <c r="Y12" s="37"/>
    </row>
    <row r="13" spans="2:25" ht="63" customHeight="1">
      <c r="B13" s="21"/>
      <c r="C13" s="22" t="s">
        <v>61</v>
      </c>
      <c r="D13" s="22"/>
      <c r="E13" s="38"/>
      <c r="F13" s="4"/>
      <c r="G13" s="52" t="s">
        <v>62</v>
      </c>
      <c r="H13" s="298"/>
      <c r="I13" s="290"/>
      <c r="J13" s="291"/>
      <c r="K13" s="4"/>
      <c r="L13" s="57" t="s">
        <v>49</v>
      </c>
      <c r="M13" s="270"/>
      <c r="N13" s="282"/>
      <c r="O13" s="283"/>
      <c r="P13" s="4"/>
      <c r="Q13" s="32"/>
      <c r="R13" s="33" t="s">
        <v>63</v>
      </c>
      <c r="S13" s="33"/>
      <c r="T13" s="34"/>
      <c r="U13" s="4"/>
      <c r="V13" s="58"/>
      <c r="W13" s="59"/>
      <c r="X13" s="60"/>
      <c r="Y13" s="61"/>
    </row>
    <row r="14" spans="2:25" ht="64.5" customHeight="1">
      <c r="B14" s="21"/>
      <c r="C14" s="22" t="s">
        <v>64</v>
      </c>
      <c r="D14" s="22"/>
      <c r="E14" s="38"/>
      <c r="F14" s="4"/>
      <c r="G14" s="52" t="s">
        <v>65</v>
      </c>
      <c r="H14" s="298"/>
      <c r="I14" s="290"/>
      <c r="J14" s="291"/>
      <c r="K14" s="4"/>
      <c r="L14" s="62" t="s">
        <v>56</v>
      </c>
      <c r="M14" s="267" t="s">
        <v>57</v>
      </c>
      <c r="N14" s="292"/>
      <c r="O14" s="293"/>
      <c r="P14" s="46"/>
      <c r="Q14" s="32"/>
      <c r="R14" s="33" t="s">
        <v>66</v>
      </c>
      <c r="S14" s="33"/>
      <c r="T14" s="34"/>
      <c r="U14" s="4"/>
      <c r="V14" s="63" t="s">
        <v>49</v>
      </c>
      <c r="W14" s="271"/>
      <c r="X14" s="286"/>
      <c r="Y14" s="287"/>
    </row>
    <row r="15" spans="2:25" ht="21.75" customHeight="1">
      <c r="B15" s="21"/>
      <c r="C15" s="22" t="s">
        <v>67</v>
      </c>
      <c r="D15" s="22"/>
      <c r="E15" s="38"/>
      <c r="F15" s="4"/>
      <c r="G15" s="52" t="s">
        <v>68</v>
      </c>
      <c r="H15" s="298"/>
      <c r="I15" s="290"/>
      <c r="J15" s="291"/>
      <c r="K15" s="4"/>
      <c r="L15" s="62" t="s">
        <v>62</v>
      </c>
      <c r="M15" s="299"/>
      <c r="N15" s="292"/>
      <c r="O15" s="293"/>
      <c r="P15" s="4"/>
      <c r="Q15" s="32"/>
      <c r="R15" s="33" t="s">
        <v>69</v>
      </c>
      <c r="S15" s="33"/>
      <c r="T15" s="34"/>
      <c r="U15" s="4"/>
      <c r="V15" s="64" t="s">
        <v>56</v>
      </c>
      <c r="W15" s="272" t="s">
        <v>57</v>
      </c>
      <c r="X15" s="296"/>
      <c r="Y15" s="297"/>
    </row>
    <row r="16" spans="2:25" ht="58.5" customHeight="1">
      <c r="B16" s="21"/>
      <c r="C16" s="22" t="s">
        <v>70</v>
      </c>
      <c r="D16" s="22"/>
      <c r="E16" s="38"/>
      <c r="F16" s="4"/>
      <c r="G16" s="52" t="s">
        <v>71</v>
      </c>
      <c r="H16" s="298"/>
      <c r="I16" s="290"/>
      <c r="J16" s="291"/>
      <c r="K16" s="4"/>
      <c r="L16" s="62" t="s">
        <v>65</v>
      </c>
      <c r="M16" s="299"/>
      <c r="N16" s="292"/>
      <c r="O16" s="293"/>
      <c r="P16" s="4"/>
      <c r="Q16" s="32"/>
      <c r="R16" s="33" t="s">
        <v>72</v>
      </c>
      <c r="S16" s="33"/>
      <c r="T16" s="34"/>
      <c r="U16" s="4"/>
      <c r="V16" s="64" t="s">
        <v>62</v>
      </c>
      <c r="W16" s="300"/>
      <c r="X16" s="296"/>
      <c r="Y16" s="297"/>
    </row>
    <row r="17" spans="2:25" ht="21.75" customHeight="1">
      <c r="B17" s="21"/>
      <c r="C17" s="22" t="s">
        <v>73</v>
      </c>
      <c r="D17" s="22"/>
      <c r="E17" s="38"/>
      <c r="F17" s="4"/>
      <c r="G17" s="65" t="s">
        <v>74</v>
      </c>
      <c r="H17" s="275" t="s">
        <v>75</v>
      </c>
      <c r="I17" s="301"/>
      <c r="J17" s="302"/>
      <c r="K17" s="4"/>
      <c r="L17" s="62" t="s">
        <v>68</v>
      </c>
      <c r="M17" s="299"/>
      <c r="N17" s="292"/>
      <c r="O17" s="293"/>
      <c r="P17" s="4"/>
      <c r="Q17" s="32"/>
      <c r="R17" s="33" t="s">
        <v>76</v>
      </c>
      <c r="S17" s="33"/>
      <c r="T17" s="34"/>
      <c r="U17" s="4"/>
      <c r="V17" s="64" t="s">
        <v>65</v>
      </c>
      <c r="W17" s="300"/>
      <c r="X17" s="296"/>
      <c r="Y17" s="297"/>
    </row>
    <row r="18" spans="2:25" ht="21.75" customHeight="1">
      <c r="B18" s="21"/>
      <c r="C18" s="22" t="s">
        <v>77</v>
      </c>
      <c r="D18" s="22"/>
      <c r="E18" s="38"/>
      <c r="F18" s="4"/>
      <c r="G18" s="1"/>
      <c r="H18" s="1"/>
      <c r="I18" s="1"/>
      <c r="J18" s="1"/>
      <c r="K18" s="1"/>
      <c r="L18" s="62" t="s">
        <v>71</v>
      </c>
      <c r="M18" s="299"/>
      <c r="N18" s="292"/>
      <c r="O18" s="293"/>
      <c r="P18" s="4"/>
      <c r="Q18" s="66"/>
      <c r="R18" s="67" t="s">
        <v>78</v>
      </c>
      <c r="S18" s="67"/>
      <c r="T18" s="68"/>
      <c r="U18" s="1"/>
      <c r="V18" s="64" t="s">
        <v>68</v>
      </c>
      <c r="W18" s="300"/>
      <c r="X18" s="296"/>
      <c r="Y18" s="297"/>
    </row>
    <row r="19" spans="2:25" ht="22.5" customHeight="1">
      <c r="B19" s="21"/>
      <c r="C19" s="22" t="s">
        <v>79</v>
      </c>
      <c r="D19" s="22"/>
      <c r="E19" s="38"/>
      <c r="F19" s="4"/>
      <c r="G19" s="1"/>
      <c r="H19" s="1"/>
      <c r="I19" s="1"/>
      <c r="J19" s="1"/>
      <c r="K19" s="1"/>
      <c r="L19" s="69" t="s">
        <v>74</v>
      </c>
      <c r="M19" s="273" t="s">
        <v>75</v>
      </c>
      <c r="N19" s="303"/>
      <c r="O19" s="304"/>
      <c r="P19" s="4"/>
      <c r="Q19" s="66"/>
      <c r="R19" s="67" t="s">
        <v>80</v>
      </c>
      <c r="S19" s="67"/>
      <c r="T19" s="68"/>
      <c r="U19" s="1"/>
      <c r="V19" s="64" t="s">
        <v>71</v>
      </c>
      <c r="W19" s="300"/>
      <c r="X19" s="296"/>
      <c r="Y19" s="297"/>
    </row>
    <row r="20" spans="2:25" ht="21.75" customHeight="1">
      <c r="B20" s="21"/>
      <c r="C20" s="22" t="s">
        <v>81</v>
      </c>
      <c r="D20" s="22"/>
      <c r="E20" s="38"/>
      <c r="F20" s="4"/>
      <c r="G20" s="1"/>
      <c r="H20" s="1"/>
      <c r="I20" s="1"/>
      <c r="J20" s="1"/>
      <c r="K20" s="1"/>
      <c r="L20" s="1"/>
      <c r="M20" s="1"/>
      <c r="N20" s="1"/>
      <c r="O20" s="1"/>
      <c r="P20" s="4"/>
      <c r="Q20" s="66"/>
      <c r="R20" s="70" t="s">
        <v>82</v>
      </c>
      <c r="S20" s="67"/>
      <c r="T20" s="68"/>
      <c r="U20" s="1"/>
      <c r="V20" s="71" t="s">
        <v>74</v>
      </c>
      <c r="W20" s="252" t="s">
        <v>75</v>
      </c>
      <c r="X20" s="305"/>
      <c r="Y20" s="306"/>
    </row>
    <row r="21" spans="2:25" ht="21.75" customHeight="1">
      <c r="B21" s="21"/>
      <c r="C21" s="22" t="s">
        <v>83</v>
      </c>
      <c r="D21" s="22"/>
      <c r="E21" s="38"/>
      <c r="F21" s="4"/>
      <c r="G21" s="1"/>
      <c r="H21" s="1"/>
      <c r="I21" s="1"/>
      <c r="J21" s="1"/>
      <c r="K21" s="1"/>
      <c r="L21" s="1"/>
      <c r="M21" s="1"/>
      <c r="N21" s="1"/>
      <c r="O21" s="1"/>
      <c r="P21" s="1"/>
      <c r="Q21" s="66"/>
      <c r="R21" s="67" t="s">
        <v>84</v>
      </c>
      <c r="S21" s="67"/>
      <c r="T21" s="68"/>
      <c r="U21" s="1"/>
      <c r="V21" s="1"/>
      <c r="W21" s="1"/>
      <c r="X21" s="1"/>
      <c r="Y21" s="1"/>
    </row>
    <row r="22" spans="2:25" ht="21.75" customHeight="1">
      <c r="B22" s="21"/>
      <c r="C22" s="22" t="s">
        <v>85</v>
      </c>
      <c r="D22" s="22"/>
      <c r="E22" s="38"/>
      <c r="F22" s="4"/>
      <c r="G22" s="1"/>
      <c r="H22" s="1"/>
      <c r="I22" s="1"/>
      <c r="J22" s="1"/>
      <c r="K22" s="1"/>
      <c r="L22" s="1"/>
      <c r="M22" s="1"/>
      <c r="N22" s="1"/>
      <c r="O22" s="1"/>
      <c r="P22" s="1"/>
      <c r="Q22" s="66"/>
      <c r="R22" s="67" t="s">
        <v>86</v>
      </c>
      <c r="S22" s="67"/>
      <c r="T22" s="68"/>
      <c r="U22" s="1"/>
      <c r="V22" s="1"/>
      <c r="W22" s="1"/>
      <c r="X22" s="1"/>
      <c r="Y22" s="1"/>
    </row>
    <row r="23" spans="2:25" ht="21.75" customHeight="1">
      <c r="B23" s="21"/>
      <c r="C23" s="22" t="s">
        <v>87</v>
      </c>
      <c r="D23" s="22"/>
      <c r="E23" s="38"/>
      <c r="F23" s="4"/>
      <c r="G23" s="1"/>
      <c r="H23" s="1"/>
      <c r="I23" s="1"/>
      <c r="J23" s="1"/>
      <c r="K23" s="1"/>
      <c r="L23" s="1"/>
      <c r="M23" s="1"/>
      <c r="N23" s="1"/>
      <c r="O23" s="1"/>
      <c r="P23" s="1"/>
      <c r="Q23" s="66"/>
      <c r="R23" s="67" t="s">
        <v>88</v>
      </c>
      <c r="S23" s="67"/>
      <c r="T23" s="68"/>
      <c r="U23" s="1"/>
      <c r="V23" s="1"/>
      <c r="W23" s="1"/>
      <c r="X23" s="1"/>
      <c r="Y23" s="1"/>
    </row>
    <row r="24" spans="2:25" ht="21.75" customHeight="1">
      <c r="B24" s="21"/>
      <c r="C24" s="22" t="s">
        <v>89</v>
      </c>
      <c r="D24" s="22"/>
      <c r="E24" s="38"/>
      <c r="F24" s="4"/>
      <c r="G24" s="1"/>
      <c r="H24" s="1"/>
      <c r="I24" s="1"/>
      <c r="J24" s="1"/>
      <c r="K24" s="1"/>
      <c r="L24" s="1"/>
      <c r="M24" s="1"/>
      <c r="N24" s="1"/>
      <c r="O24" s="1"/>
      <c r="P24" s="1"/>
      <c r="Q24" s="66"/>
      <c r="R24" s="67" t="s">
        <v>90</v>
      </c>
      <c r="S24" s="67"/>
      <c r="T24" s="68"/>
      <c r="U24" s="1"/>
      <c r="V24" s="1"/>
      <c r="W24" s="1"/>
      <c r="X24" s="1"/>
      <c r="Y24" s="1"/>
    </row>
    <row r="25" spans="2:25" ht="21.75" customHeight="1">
      <c r="B25" s="21"/>
      <c r="C25" s="22" t="s">
        <v>91</v>
      </c>
      <c r="D25" s="22"/>
      <c r="E25" s="38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66"/>
      <c r="R25" s="67" t="s">
        <v>92</v>
      </c>
      <c r="S25" s="67"/>
      <c r="T25" s="68"/>
      <c r="U25" s="1"/>
      <c r="V25" s="1"/>
      <c r="W25" s="1"/>
      <c r="X25" s="1"/>
      <c r="Y25" s="1"/>
    </row>
    <row r="26" spans="2:25" ht="21.75" customHeight="1">
      <c r="B26" s="21"/>
      <c r="C26" s="22" t="s">
        <v>93</v>
      </c>
      <c r="D26" s="22"/>
      <c r="E26" s="38"/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66"/>
      <c r="R26" s="67" t="s">
        <v>94</v>
      </c>
      <c r="S26" s="67"/>
      <c r="T26" s="68"/>
      <c r="U26" s="1"/>
      <c r="V26" s="1"/>
      <c r="W26" s="1"/>
      <c r="X26" s="1"/>
      <c r="Y26" s="1"/>
    </row>
    <row r="27" spans="2:25" ht="21.75" customHeight="1">
      <c r="B27" s="21"/>
      <c r="C27" s="22" t="s">
        <v>95</v>
      </c>
      <c r="D27" s="22"/>
      <c r="E27" s="38"/>
      <c r="F27" s="4"/>
      <c r="G27" s="1"/>
      <c r="H27" s="1"/>
      <c r="I27" s="1"/>
      <c r="J27" s="1"/>
      <c r="K27" s="1"/>
      <c r="L27" s="1"/>
      <c r="M27" s="1"/>
      <c r="N27" s="1"/>
      <c r="O27" s="1"/>
      <c r="P27" s="1"/>
      <c r="Q27" s="66"/>
      <c r="R27" s="67" t="s">
        <v>96</v>
      </c>
      <c r="S27" s="67"/>
      <c r="T27" s="68"/>
      <c r="U27" s="1"/>
      <c r="V27" s="1"/>
      <c r="W27" s="1"/>
      <c r="X27" s="1"/>
      <c r="Y27" s="1"/>
    </row>
    <row r="28" spans="2:25" ht="21.75" customHeight="1">
      <c r="B28" s="72"/>
      <c r="C28" s="73"/>
      <c r="D28" s="74"/>
      <c r="E28" s="75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66"/>
      <c r="R28" s="67" t="s">
        <v>97</v>
      </c>
      <c r="S28" s="67"/>
      <c r="T28" s="68"/>
      <c r="U28" s="1"/>
      <c r="V28" s="1"/>
      <c r="W28" s="1"/>
      <c r="X28" s="1"/>
      <c r="Y28" s="1"/>
    </row>
    <row r="29" spans="2:25" ht="61.5" customHeight="1">
      <c r="B29" s="76" t="s">
        <v>49</v>
      </c>
      <c r="C29" s="276"/>
      <c r="D29" s="278"/>
      <c r="E29" s="279"/>
      <c r="F29" s="46"/>
      <c r="G29" s="1"/>
      <c r="H29" s="1"/>
      <c r="I29" s="1"/>
      <c r="J29" s="1"/>
      <c r="K29" s="1"/>
      <c r="L29" s="1"/>
      <c r="M29" s="1"/>
      <c r="N29" s="1"/>
      <c r="O29" s="1"/>
      <c r="P29" s="1"/>
      <c r="Q29" s="66"/>
      <c r="R29" s="67" t="s">
        <v>98</v>
      </c>
      <c r="S29" s="67"/>
      <c r="T29" s="68"/>
      <c r="U29" s="1"/>
      <c r="V29" s="1"/>
      <c r="W29" s="1"/>
      <c r="X29" s="1"/>
      <c r="Y29" s="1"/>
    </row>
    <row r="30" spans="2:25" ht="21.75" customHeight="1">
      <c r="B30" s="77" t="s">
        <v>56</v>
      </c>
      <c r="C30" s="277" t="s">
        <v>57</v>
      </c>
      <c r="D30" s="288"/>
      <c r="E30" s="289"/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78"/>
      <c r="R30" s="79" t="s">
        <v>99</v>
      </c>
      <c r="S30" s="79"/>
      <c r="T30" s="80"/>
      <c r="U30" s="1"/>
      <c r="V30" s="1"/>
      <c r="W30" s="1"/>
      <c r="X30" s="1"/>
      <c r="Y30" s="1"/>
    </row>
    <row r="31" spans="2:25" ht="63" customHeight="1">
      <c r="B31" s="77" t="s">
        <v>62</v>
      </c>
      <c r="C31" s="307"/>
      <c r="D31" s="288"/>
      <c r="E31" s="289"/>
      <c r="F31" s="4"/>
      <c r="G31" s="1"/>
      <c r="H31" s="1"/>
      <c r="I31" s="1"/>
      <c r="J31" s="1"/>
      <c r="K31" s="1"/>
      <c r="L31" s="1"/>
      <c r="M31" s="1"/>
      <c r="N31" s="1"/>
      <c r="O31" s="1"/>
      <c r="P31" s="1"/>
      <c r="Q31" s="81" t="s">
        <v>49</v>
      </c>
      <c r="R31" s="308"/>
      <c r="S31" s="284"/>
      <c r="T31" s="285"/>
      <c r="U31" s="1"/>
      <c r="V31" s="1"/>
      <c r="W31" s="1"/>
      <c r="X31" s="1"/>
      <c r="Y31" s="1"/>
    </row>
    <row r="32" spans="2:25" ht="21.75" customHeight="1">
      <c r="B32" s="77" t="s">
        <v>65</v>
      </c>
      <c r="C32" s="307"/>
      <c r="D32" s="288"/>
      <c r="E32" s="289"/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82" t="s">
        <v>56</v>
      </c>
      <c r="R32" s="253" t="s">
        <v>57</v>
      </c>
      <c r="S32" s="294"/>
      <c r="T32" s="295"/>
      <c r="U32" s="1"/>
      <c r="V32" s="1"/>
      <c r="W32" s="1"/>
      <c r="X32" s="1"/>
      <c r="Y32" s="1"/>
    </row>
    <row r="33" spans="2:25" ht="21.75" customHeight="1">
      <c r="B33" s="77" t="s">
        <v>68</v>
      </c>
      <c r="C33" s="307"/>
      <c r="D33" s="288"/>
      <c r="E33" s="289"/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82" t="s">
        <v>62</v>
      </c>
      <c r="R33" s="309"/>
      <c r="S33" s="294"/>
      <c r="T33" s="295"/>
      <c r="U33" s="1"/>
      <c r="V33" s="1"/>
      <c r="W33" s="1"/>
      <c r="X33" s="1"/>
      <c r="Y33" s="1"/>
    </row>
    <row r="34" spans="2:25" ht="21.75" customHeight="1">
      <c r="B34" s="77" t="s">
        <v>71</v>
      </c>
      <c r="C34" s="307"/>
      <c r="D34" s="288"/>
      <c r="E34" s="289"/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82" t="s">
        <v>65</v>
      </c>
      <c r="R34" s="309"/>
      <c r="S34" s="294"/>
      <c r="T34" s="295"/>
      <c r="U34" s="1"/>
      <c r="V34" s="1"/>
      <c r="W34" s="1"/>
      <c r="X34" s="1"/>
      <c r="Y34" s="1"/>
    </row>
    <row r="35" spans="2:25" ht="21.75" customHeight="1">
      <c r="B35" s="83" t="s">
        <v>74</v>
      </c>
      <c r="C35" s="274" t="s">
        <v>75</v>
      </c>
      <c r="D35" s="310"/>
      <c r="E35" s="311"/>
      <c r="F35" s="4"/>
      <c r="G35" s="1"/>
      <c r="H35" s="1"/>
      <c r="I35" s="1"/>
      <c r="J35" s="1"/>
      <c r="K35" s="1"/>
      <c r="L35" s="1"/>
      <c r="M35" s="1"/>
      <c r="N35" s="1"/>
      <c r="O35" s="1"/>
      <c r="P35" s="1"/>
      <c r="Q35" s="82" t="s">
        <v>68</v>
      </c>
      <c r="R35" s="309"/>
      <c r="S35" s="294"/>
      <c r="T35" s="295"/>
      <c r="U35" s="1"/>
      <c r="V35" s="1"/>
      <c r="W35" s="1"/>
      <c r="X35" s="1"/>
      <c r="Y35" s="1"/>
    </row>
    <row r="36" spans="2:25" ht="21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82" t="s">
        <v>71</v>
      </c>
      <c r="R36" s="309"/>
      <c r="S36" s="294"/>
      <c r="T36" s="295"/>
      <c r="U36" s="1"/>
      <c r="V36" s="1"/>
      <c r="W36" s="1"/>
      <c r="X36" s="1"/>
      <c r="Y36" s="1"/>
    </row>
    <row r="37" spans="2:25" ht="21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4" t="s">
        <v>74</v>
      </c>
      <c r="R37" s="251" t="s">
        <v>75</v>
      </c>
      <c r="S37" s="312"/>
      <c r="T37" s="313"/>
      <c r="U37" s="1"/>
      <c r="V37" s="1"/>
      <c r="W37" s="1"/>
      <c r="X37" s="1"/>
      <c r="Y37" s="1"/>
    </row>
    <row r="38" spans="2:25" ht="21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ht="21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ht="21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ht="21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ht="21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ht="21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ht="21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ht="21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ht="21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ht="21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ht="21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ht="21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ht="21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ht="21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ht="21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ht="21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ht="21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2:25" ht="21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25" ht="21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ht="21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ht="21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ht="21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ht="21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ht="21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ht="21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ht="21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ht="21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25" ht="21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2:25" ht="21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2:25" ht="21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2:25" ht="21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2:25" ht="21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2:25" ht="21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2:25" ht="21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2:25" ht="21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2:25" ht="21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25" ht="21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2:25" ht="21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2:25" ht="21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2:25" ht="21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2:25" ht="21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2:25" ht="21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2:25" ht="21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2:25" ht="21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2:25" ht="21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25" ht="21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25" ht="21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25" ht="21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2:25" ht="21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2:25" ht="21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25" ht="21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2:25" ht="21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2:25" ht="21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2:25" ht="21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2:25" ht="21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2:25" ht="21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25" ht="21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25" ht="21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25" ht="21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ht="21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ht="21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ht="21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ht="21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2:25" ht="21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2:25" ht="21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ht="21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2:25" ht="21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ht="21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2:25" ht="21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2:25" ht="21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2:25" ht="21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2:25" ht="21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2:25" ht="21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2:25" ht="21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ht="21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ht="21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ht="21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ht="21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ht="21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ht="21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ht="21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2:25" ht="21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2:25" ht="21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ht="21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ht="21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ht="21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ht="21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ht="21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ht="21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ht="21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2:25" ht="21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2:25" ht="21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2:25" ht="21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2:25" ht="21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2:25" ht="21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2:25" ht="21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2:25" ht="21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ht="21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2:25" ht="21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2:25" ht="21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2:25" ht="21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ht="21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ht="21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ht="21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ht="21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ht="21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ht="21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ht="21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2:25" ht="21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2:25" ht="21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2:25" ht="21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2:25" ht="21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2:25" ht="21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2:25" ht="21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2:25" ht="21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2:25" ht="21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2:25" ht="21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2:25" ht="21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2:25" ht="21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2:25" ht="21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2:25" ht="21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2:25" ht="21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2:25" ht="21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2:25" ht="21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2:25" ht="21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2:25" ht="21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2:25" ht="21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2:25" ht="21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2:25" ht="21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2:25" ht="21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2:25" ht="21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2:25" ht="21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2:25" ht="21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2:25" ht="21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2:25" ht="21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2:25" ht="21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2:25" ht="21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2:25" ht="21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2:25" ht="21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2:25" ht="21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2:25" ht="21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2:25" ht="21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2:25" ht="21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2:25" ht="21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2:25" ht="21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2:25" ht="21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2:25" ht="21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2:25" ht="21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2:25" ht="21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2:25" ht="21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2:25" ht="21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2:25" ht="21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2:25" ht="21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2:25" ht="21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2:25" ht="21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2:25" ht="21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2:25" ht="21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2:25" ht="21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2:25" ht="21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2:25" ht="21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2:25" ht="21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2:25" ht="21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2:25" ht="21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2:25" ht="21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2:25" ht="21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2:25" ht="21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2:25" ht="21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2:25" ht="21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2:25" ht="21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2:25" ht="21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2:25" ht="21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2:25" ht="21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2:25" ht="21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2:25" ht="21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2:25" ht="21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2:25" ht="21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2:25" ht="21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2:25" ht="21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2:25" ht="21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2:25" ht="21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2:25" ht="21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2:25" ht="21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2:25" ht="21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2:25" ht="21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2:25" ht="21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2:25" ht="21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2:25" ht="21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2:25" ht="21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2:25" ht="21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2:25" ht="21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2:25" ht="21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2:25" ht="21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2:25" ht="21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2:25" ht="21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2:25" ht="21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2:25" ht="21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2:25" ht="21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2:25" ht="21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2:25" ht="21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2:25" ht="21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2:25" ht="21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2:25" ht="21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2:25" ht="21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2:25" ht="21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2:25" ht="21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2:25" ht="21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2:25" ht="21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2:25" ht="21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2:25" ht="21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2:25" ht="21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2:25" ht="21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2:25" ht="21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2:25" ht="21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2:25" ht="21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2:25" ht="21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2:25" ht="21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2:25" ht="21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2:25" ht="21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2:25" ht="21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2:25" ht="21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2:25" ht="21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2:25" ht="21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2:25" ht="21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2:25" ht="21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2:25" ht="21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2:25" ht="21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2:25" ht="21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2:25" ht="21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2:25" ht="21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2:25" ht="21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2:25" ht="21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2:25" ht="21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2:25" ht="21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2:25" ht="21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2:25" ht="21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2:25" ht="21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2:25" ht="21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2:25" ht="21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2:25" ht="21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2:25" ht="21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2:25" ht="21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2:25" ht="21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2:25" ht="21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2:25" ht="21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2:25" ht="21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2:25" ht="21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2:25" ht="21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2:25" ht="21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2:25" ht="21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2:25" ht="21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2:25" ht="21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2:25" ht="21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2:25" ht="21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2:25" ht="21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2:25" ht="21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2:25" ht="21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2:25" ht="21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2:25" ht="21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2:25" ht="21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2:25" ht="21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2:25" ht="21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2:25" ht="21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2:25" ht="21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2:25" ht="21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2:25" ht="21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2:25" ht="21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2:25" ht="21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2:25" ht="21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2:25" ht="21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2:25" ht="21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2:25" ht="21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2:25" ht="21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2:25" ht="21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2:25" ht="21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2:25" ht="21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2:25" ht="21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2:25" ht="21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2:25" ht="21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2:25" ht="21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2:25" ht="21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2:25" ht="21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2:25" ht="21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2:25" ht="21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21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21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21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21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21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21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21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21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21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2:25" ht="21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2:25" ht="21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2:25" ht="21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2:25" ht="21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2:25" ht="21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2:25" ht="21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2:25" ht="21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21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21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21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21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21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21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21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21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21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2:25" ht="21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2:25" ht="21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2:25" ht="21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2:25" ht="21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2:25" ht="21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2:25" ht="21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2:25" ht="21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2:25" ht="21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2:25" ht="21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2:25" ht="21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2:25" ht="21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2:25" ht="21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2:25" ht="21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2:25" ht="21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2:25" ht="21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2:25" ht="21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2:25" ht="21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2:25" ht="21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2:25" ht="21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2:25" ht="21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2:25" ht="21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2:25" ht="21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2:25" ht="21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2:25" ht="21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2:25" ht="21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2:25" ht="21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2:25" ht="21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2:25" ht="21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2:25" ht="21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2:25" ht="21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2:25" ht="21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2:25" ht="21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2:25" ht="21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2:25" ht="21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2:25" ht="21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2:25" ht="21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2:25" ht="21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2:25" ht="21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2:25" ht="21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2:25" ht="21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2:25" ht="21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2:25" ht="21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2:25" ht="21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2:25" ht="21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2:25" ht="21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2:25" ht="21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2:25" ht="21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2:25" ht="21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2:25" ht="21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2:25" ht="21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2:25" ht="21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2:25" ht="21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2:25" ht="21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2:25" ht="21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2:25" ht="21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2:25" ht="21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2:25" ht="21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2:25" ht="21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2:25" ht="21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2:25" ht="21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2:25" ht="21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2:25" ht="21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2:25" ht="21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2:25" ht="21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2:25" ht="21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2:25" ht="21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2:25" ht="21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2:25" ht="21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2:25" ht="21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2:25" ht="21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2:25" ht="21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2:25" ht="21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2:25" ht="21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2:25" ht="21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2:25" ht="21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2:25" ht="21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2:25" ht="21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2:25" ht="21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2:25" ht="21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2:25" ht="21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2:25" ht="21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2:25" ht="21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2:25" ht="21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2:25" ht="21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2:25" ht="21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2:25" ht="21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2:25" ht="21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2:25" ht="21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2:25" ht="21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2:25" ht="21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2:25" ht="21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2:25" ht="21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2:25" ht="21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2:25" ht="21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2:25" ht="21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2:25" ht="21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2:25" ht="21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2:25" ht="21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2:25" ht="21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2:25" ht="21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2:25" ht="21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2:25" ht="21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2:25" ht="21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2:25" ht="21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2:25" ht="21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2:25" ht="21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2:25" ht="21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2:25" ht="21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2:25" ht="21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2:25" ht="21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2:25" ht="21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2:25" ht="21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2:25" ht="21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2:25" ht="21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2:25" ht="21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2:25" ht="21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2:25" ht="21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2:25" ht="21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2:25" ht="21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2:25" ht="21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2:25" ht="21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2:25" ht="21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2:25" ht="21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2:25" ht="21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2:25" ht="21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2:25" ht="21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2:25" ht="21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2:25" ht="21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2:25" ht="21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2:25" ht="21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2:25" ht="21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2:25" ht="21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2:25" ht="21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2:25" ht="21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2:25" ht="21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2:25" ht="21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2:25" ht="21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2:25" ht="21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2:25" ht="21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2:25" ht="21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2:25" ht="21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2:25" ht="21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2:25" ht="21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2:25" ht="21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2:25" ht="21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2:25" ht="21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2:25" ht="21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2:25" ht="21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2:25" ht="21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2:25" ht="21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2:25" ht="21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2:25" ht="21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2:25" ht="21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2:25" ht="21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2:25" ht="21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2:25" ht="21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2:25" ht="21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2:25" ht="21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2:25" ht="21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2:25" ht="21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2:25" ht="21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2:25" ht="21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2:25" ht="21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2:25" ht="21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2:25" ht="21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2:25" ht="21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2:25" ht="21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2:25" ht="21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2:25" ht="21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2:25" ht="21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2:25" ht="21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2:25" ht="21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2:25" ht="21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2:25" ht="21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2:25" ht="21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2:25" ht="21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2:25" ht="21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2:25" ht="21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2:25" ht="21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2:25" ht="21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2:25" ht="21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2:25" ht="21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2:25" ht="21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2:25" ht="21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2:25" ht="21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2:25" ht="21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2:25" ht="21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2:25" ht="21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2:25" ht="21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2:25" ht="21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2:25" ht="21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2:25" ht="21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2:25" ht="21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2:25" ht="21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2:25" ht="21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2:25" ht="21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2:25" ht="21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2:25" ht="21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2:25" ht="21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2:25" ht="21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2:25" ht="21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2:25" ht="21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2:25" ht="21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2:25" ht="21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2:25" ht="21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2:25" ht="21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2:25" ht="21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2:25" ht="21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2:25" ht="21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2:25" ht="21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2:25" ht="21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2:25" ht="21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2:25" ht="21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2:25" ht="21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2:25" ht="21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2:25" ht="21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2:25" ht="21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2:25" ht="21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2:25" ht="21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2:25" ht="21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2:25" ht="21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2:25" ht="21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2:25" ht="21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2:25" ht="21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2:25" ht="21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2:25" ht="21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2:25" ht="21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2:25" ht="21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2:25" ht="21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2:25" ht="21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2:25" ht="21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2:25" ht="21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2:25" ht="21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2:25" ht="21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2:25" ht="21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2:25" ht="21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2:25" ht="21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2:25" ht="21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2:25" ht="21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2:25" ht="21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2:25" ht="21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2:25" ht="21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2:25" ht="21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2:25" ht="21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2:25" ht="21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2:25" ht="21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2:25" ht="21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2:25" ht="21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2:25" ht="21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2:25" ht="21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2:25" ht="21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2:25" ht="21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2:25" ht="21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2:25" ht="21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2:25" ht="21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2:25" ht="21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2:25" ht="21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2:25" ht="21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2:25" ht="21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2:25" ht="21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2:25" ht="21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2:25" ht="21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2:25" ht="21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2:25" ht="21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2:25" ht="21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2:25" ht="21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2:25" ht="21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2:25" ht="21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2:25" ht="21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2:25" ht="21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2:25" ht="21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2:25" ht="21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2:25" ht="21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2:25" ht="21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2:25" ht="21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2:25" ht="21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2:25" ht="21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2:25" ht="21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2:25" ht="21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2:25" ht="21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2:25" ht="21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2:25" ht="21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2:25" ht="21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2:25" ht="21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2:25" ht="21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2:25" ht="21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2:25" ht="21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2:25" ht="21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2:25" ht="21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2:25" ht="21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2:25" ht="21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2:25" ht="21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2:25" ht="21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2:25" ht="21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2:25" ht="21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2:25" ht="21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2:25" ht="21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2:25" ht="21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2:25" ht="21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2:25" ht="21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2:25" ht="21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2:25" ht="21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2:25" ht="21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2:25" ht="21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2:25" ht="21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2:25" ht="21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2:25" ht="21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2:25" ht="21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2:25" ht="21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2:25" ht="21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2:25" ht="21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2:25" ht="21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2:25" ht="21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2:25" ht="21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2:25" ht="21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2:25" ht="21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2:25" ht="21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2:25" ht="21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2:25" ht="21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2:25" ht="21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2:25" ht="21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2:25" ht="21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2:25" ht="21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2:25" ht="21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2:25" ht="21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2:25" ht="21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2:25" ht="21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2:25" ht="21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2:25" ht="21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2:25" ht="21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2:25" ht="21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2:25" ht="21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2:25" ht="21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2:25" ht="21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2:25" ht="21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2:25" ht="21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2:25" ht="21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2:25" ht="21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2:25" ht="21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2:25" ht="21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2:25" ht="21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2:25" ht="21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2:25" ht="21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2:25" ht="21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2:25" ht="21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2:25" ht="21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2:25" ht="21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2:25" ht="21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2:25" ht="21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2:25" ht="21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2:25" ht="21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2:25" ht="21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2:25" ht="21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2:25" ht="21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2:25" ht="21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2:25" ht="21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2:25" ht="21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2:25" ht="21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2:25" ht="21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2:25" ht="21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2:25" ht="21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2:25" ht="21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2:25" ht="21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2:25" ht="21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2:25" ht="21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2:25" ht="21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2:25" ht="21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2:25" ht="21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2:25" ht="21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2:25" ht="21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2:25" ht="21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2:25" ht="21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2:25" ht="21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2:25" ht="21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2:25" ht="21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2:25" ht="21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2:25" ht="21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2:25" ht="21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2:25" ht="21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2:25" ht="21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2:25" ht="21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2:25" ht="21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2:25" ht="21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2:25" ht="21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2:25" ht="21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2:25" ht="21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2:25" ht="21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2:25" ht="21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2:25" ht="21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2:25" ht="21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2:25" ht="21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2:25" ht="21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2:25" ht="21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2:25" ht="21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2:25" ht="21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2:25" ht="21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2:25" ht="21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2:25" ht="21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2:25" ht="21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2:25" ht="21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2:25" ht="21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2:25" ht="21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2:25" ht="21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2:25" ht="21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2:25" ht="21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2:25" ht="21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2:25" ht="21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2:25" ht="21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2:25" ht="21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2:25" ht="21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2:25" ht="21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2:25" ht="21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2:25" ht="21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2:25" ht="21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2:25" ht="21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2:25" ht="21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2:25" ht="21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2:25" ht="21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2:25" ht="21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2:25" ht="21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2:25" ht="21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2:25" ht="21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2:25" ht="21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2:25" ht="21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2:25" ht="21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2:25" ht="21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2:25" ht="21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2:25" ht="21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2:25" ht="21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2:25" ht="21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2:25" ht="21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2:25" ht="21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2:25" ht="21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2:25" ht="21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2:25" ht="21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2:25" ht="21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2:25" ht="21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2:25" ht="21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2:25" ht="21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2:25" ht="21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2:25" ht="21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2:25" ht="21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2:25" ht="21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2:25" ht="21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2:25" ht="21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2:25" ht="21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2:25" ht="21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2:25" ht="21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2:25" ht="21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2:25" ht="21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2:25" ht="21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2:25" ht="21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2:25" ht="21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2:25" ht="21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2:25" ht="21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2:25" ht="21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2:25" ht="21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2:25" ht="21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2:25" ht="21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2:25" ht="21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2:25" ht="21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2:25" ht="21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2:25" ht="21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2:25" ht="21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2:25" ht="21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2:25" ht="21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2:25" ht="21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2:25" ht="21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2:25" ht="21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2:25" ht="21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2:25" ht="21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2:25" ht="21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2:25" ht="21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2:25" ht="21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2:25" ht="21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2:25" ht="21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2:25" ht="21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2:25" ht="21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2:25" ht="21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2:25" ht="21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2:25" ht="21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2:25" ht="21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2:25" ht="21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2:25" ht="21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2:25" ht="21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2:25" ht="21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2:25" ht="21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2:25" ht="21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2:25" ht="21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2:25" ht="21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2:25" ht="21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2:25" ht="21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2:25" ht="21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2:25" ht="21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2:25" ht="21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2:25" ht="21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2:25" ht="21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2:25" ht="21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2:25" ht="21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2:25" ht="21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2:25" ht="21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2:25" ht="21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2:25" ht="21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2:25" ht="21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2:25" ht="21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2:25" ht="21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2:25" ht="21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2:25" ht="21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2:25" ht="21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2:25" ht="21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2:25" ht="21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2:25" ht="21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2:25" ht="21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2:25" ht="21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2:25" ht="21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2:25" ht="21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2:25" ht="21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2:25" ht="21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2:25" ht="21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2:25" ht="21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2:25" ht="21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2:25" ht="21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2:25" ht="21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2:25" ht="21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2:25" ht="21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2:25" ht="21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2:25" ht="21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2:25" ht="21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2:25" ht="21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2:25" ht="21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2:25" ht="21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2:25" ht="21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2:25" ht="21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2:25" ht="21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2:25" ht="21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2:25" ht="21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2:25" ht="21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2:25" ht="21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2:25" ht="21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2:25" ht="21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2:25" ht="21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2:25" ht="21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2:25" ht="21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2:25" ht="21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2:25" ht="21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2:25" ht="21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2:25" ht="21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2:25" ht="21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2:25" ht="21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2:25" ht="21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2:25" ht="21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2:25" ht="21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2:25" ht="21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2:25" ht="21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2:25" ht="21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2:25" ht="21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2:25" ht="21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2:25" ht="21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2:25" ht="21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2:25" ht="21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2:25" ht="21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2:25" ht="21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2:25" ht="21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2:25" ht="21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2:25" ht="21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2:25" ht="21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2:25" ht="21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2:25" ht="21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2:25" ht="21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2:25" ht="21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2:25" ht="21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2:25" ht="21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2:25" ht="21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2:25" ht="21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2:25" ht="21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2:25" ht="21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2:25" ht="21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2:25" ht="21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2:25" ht="21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2:25" ht="21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2:25" ht="21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2:25" ht="21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2:25" ht="21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2:25" ht="21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2:25" ht="21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2:25" ht="21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2:25" ht="21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2:25" ht="21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2:25" ht="21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2:25" ht="21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2:25" ht="21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2:25" ht="21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2:25" ht="21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2:25" ht="21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2:25" ht="21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2:25" ht="21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2:25" ht="21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2:25" ht="21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2:25" ht="21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2:25" ht="21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2:25" ht="21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2:25" ht="21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2:25" ht="21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2:25" ht="21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2:25" ht="21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2:25" ht="21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2:25" ht="21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2:25" ht="21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2:25" ht="21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2:25" ht="21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2:25" ht="21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2:25" ht="21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2:25" ht="21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2:25" ht="21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2:25" ht="21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2:25" ht="21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2:25" ht="21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2:25" ht="21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2:25" ht="21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2:25" ht="21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2:25" ht="21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2:25" ht="21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2:25" ht="21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2:25" ht="21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2:25" ht="21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2:25" ht="21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2:25" ht="21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2:25" ht="21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2:25" ht="21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2:25" ht="21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2:25" ht="21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2:25" ht="21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2:25" ht="21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2:25" ht="21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2:25" ht="21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2:25" ht="21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2:25" ht="21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2:25" ht="21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2:25" ht="21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2:25" ht="21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2:25" ht="21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2:25" ht="21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2:25" ht="21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2:25" ht="21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2:25" ht="21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2:25" ht="21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2:25" ht="21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2:25" ht="21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2:25" ht="21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2:25" ht="21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2:25" ht="21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2:25" ht="21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2:25" ht="21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2:25" ht="21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2:25" ht="21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sheetProtection algorithmName="SHA-512" hashValue="5x82ZaSqalaNXjstlSD1SmBLULupqsO+CEhhmgouq2mNbOfemphHDejdQ67Fhum6AGbKzbDeBL9yvzlKuDiXLw==" saltValue="8fICQ/rG1xhA+5qEAWybvg==" spinCount="100000" sheet="1" objects="1" scenarios="1"/>
  <mergeCells count="50">
    <mergeCell ref="C35:E35"/>
    <mergeCell ref="H16:J16"/>
    <mergeCell ref="H17:J17"/>
    <mergeCell ref="C29:E29"/>
    <mergeCell ref="C30:E30"/>
    <mergeCell ref="C31:E31"/>
    <mergeCell ref="C32:E32"/>
    <mergeCell ref="C33:E33"/>
    <mergeCell ref="W14:Y14"/>
    <mergeCell ref="H15:J15"/>
    <mergeCell ref="W15:Y15"/>
    <mergeCell ref="W16:Y16"/>
    <mergeCell ref="C34:E34"/>
    <mergeCell ref="M17:O17"/>
    <mergeCell ref="M18:O18"/>
    <mergeCell ref="M19:O19"/>
    <mergeCell ref="M15:O15"/>
    <mergeCell ref="M16:O16"/>
    <mergeCell ref="R34:T34"/>
    <mergeCell ref="H13:J13"/>
    <mergeCell ref="H14:J14"/>
    <mergeCell ref="M14:O14"/>
    <mergeCell ref="H11:J11"/>
    <mergeCell ref="H12:J12"/>
    <mergeCell ref="M13:O13"/>
    <mergeCell ref="Q1:T1"/>
    <mergeCell ref="Q2:T2"/>
    <mergeCell ref="Q3:T3"/>
    <mergeCell ref="V3:Y3"/>
    <mergeCell ref="B1:E1"/>
    <mergeCell ref="G1:J1"/>
    <mergeCell ref="L1:O1"/>
    <mergeCell ref="V1:Y1"/>
    <mergeCell ref="G2:J2"/>
    <mergeCell ref="L2:O2"/>
    <mergeCell ref="V2:Y2"/>
    <mergeCell ref="B2:E2"/>
    <mergeCell ref="B3:E3"/>
    <mergeCell ref="G3:J3"/>
    <mergeCell ref="L3:O3"/>
    <mergeCell ref="R35:T35"/>
    <mergeCell ref="R36:T36"/>
    <mergeCell ref="R37:T37"/>
    <mergeCell ref="W17:Y17"/>
    <mergeCell ref="W18:Y18"/>
    <mergeCell ref="W19:Y19"/>
    <mergeCell ref="W20:Y20"/>
    <mergeCell ref="R31:T31"/>
    <mergeCell ref="R32:T32"/>
    <mergeCell ref="R33:T33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920C-7730-412C-AB05-9F8BB94EE227}">
  <sheetPr codeName="Hoja2"/>
  <dimension ref="B2:B6"/>
  <sheetViews>
    <sheetView showGridLines="0" showRowColHeaders="0" workbookViewId="0">
      <selection activeCell="G6" sqref="G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9.140625" defaultRowHeight="14.45"/>
  <sheetData>
    <row r="2" spans="2:2">
      <c r="B2" t="s">
        <v>100</v>
      </c>
    </row>
    <row r="3" spans="2:2">
      <c r="B3" t="s">
        <v>101</v>
      </c>
    </row>
    <row r="4" spans="2:2">
      <c r="B4" t="s">
        <v>102</v>
      </c>
    </row>
    <row r="5" spans="2:2">
      <c r="B5" t="s">
        <v>103</v>
      </c>
    </row>
    <row r="6" spans="2:2">
      <c r="B6" t="s">
        <v>104</v>
      </c>
    </row>
  </sheetData>
  <sheetProtection algorithmName="SHA-512" hashValue="F+5wi5pMRO8hjZpZ4M/OkCoCeIYXskZqZ+78o4kfQQUj7umBLBJJOpUTw3+utQAIacEVKIGxRmgp2TFu78Sb+w==" saltValue="NoEZZduR73HRWZvorf6AHg==" spinCount="100000" sheet="1" objects="1" scenarios="1"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>
    <pageSetUpPr fitToPage="1"/>
  </sheetPr>
  <dimension ref="A1:AN206"/>
  <sheetViews>
    <sheetView tabSelected="1" topLeftCell="N199" zoomScale="55" zoomScaleNormal="55" workbookViewId="0">
      <selection activeCell="AP48" sqref="AP48:AP51"/>
    </sheetView>
  </sheetViews>
  <sheetFormatPr defaultColWidth="9.140625" defaultRowHeight="30" customHeight="1"/>
  <cols>
    <col min="1" max="1" width="17.85546875" style="126" customWidth="1"/>
    <col min="2" max="2" width="21.7109375" style="126" customWidth="1"/>
    <col min="3" max="3" width="22.7109375" style="126" customWidth="1"/>
    <col min="4" max="4" width="29.5703125" style="146" customWidth="1"/>
    <col min="5" max="5" width="45.28515625" style="126" customWidth="1"/>
    <col min="6" max="6" width="11.5703125" style="126" customWidth="1"/>
    <col min="7" max="7" width="11.7109375" style="126" customWidth="1"/>
    <col min="8" max="8" width="68.85546875" style="126" customWidth="1"/>
    <col min="9" max="9" width="10" style="127" customWidth="1"/>
    <col min="10" max="10" width="66.28515625" style="126" customWidth="1"/>
    <col min="11" max="11" width="9" style="127" customWidth="1"/>
    <col min="12" max="12" width="61.85546875" style="126" customWidth="1"/>
    <col min="13" max="13" width="9.28515625" style="127" customWidth="1"/>
    <col min="14" max="14" width="17" style="126" customWidth="1"/>
    <col min="15" max="15" width="24" style="126" customWidth="1"/>
    <col min="16" max="16" width="14.42578125" style="126" customWidth="1"/>
    <col min="17" max="17" width="13.5703125" style="126" customWidth="1"/>
    <col min="18" max="18" width="16.5703125" style="126" customWidth="1"/>
    <col min="19" max="19" width="13" style="126" customWidth="1"/>
    <col min="20" max="20" width="10.5703125" style="126" customWidth="1"/>
    <col min="21" max="21" width="10.85546875" style="126" customWidth="1"/>
    <col min="22" max="22" width="18.5703125" style="167" customWidth="1"/>
    <col min="23" max="23" width="18.140625" style="128" customWidth="1"/>
    <col min="24" max="33" width="2.28515625" style="85" hidden="1" customWidth="1"/>
    <col min="34" max="34" width="12.5703125" style="85" hidden="1" customWidth="1"/>
    <col min="35" max="35" width="9.140625" style="85" hidden="1" customWidth="1"/>
    <col min="36" max="36" width="0" style="85" hidden="1" customWidth="1"/>
    <col min="37" max="37" width="27.7109375" style="152" customWidth="1"/>
    <col min="38" max="38" width="9.140625" style="126"/>
    <col min="39" max="39" width="20.85546875" style="126" customWidth="1"/>
    <col min="40" max="40" width="22" style="126" customWidth="1"/>
    <col min="41" max="16384" width="9.140625" style="126"/>
  </cols>
  <sheetData>
    <row r="1" spans="1:40" ht="44.1" customHeight="1">
      <c r="A1" s="97" t="s">
        <v>105</v>
      </c>
      <c r="B1" s="97" t="s">
        <v>106</v>
      </c>
      <c r="C1" s="97" t="s">
        <v>107</v>
      </c>
      <c r="D1" s="133" t="s">
        <v>108</v>
      </c>
      <c r="E1" s="97" t="s">
        <v>109</v>
      </c>
      <c r="F1" s="97" t="s">
        <v>110</v>
      </c>
      <c r="G1" s="97" t="s">
        <v>111</v>
      </c>
      <c r="H1" s="97" t="s">
        <v>62</v>
      </c>
      <c r="I1" s="97" t="s">
        <v>112</v>
      </c>
      <c r="J1" s="97" t="s">
        <v>65</v>
      </c>
      <c r="K1" s="97" t="s">
        <v>113</v>
      </c>
      <c r="L1" s="97" t="s">
        <v>68</v>
      </c>
      <c r="M1" s="97" t="s">
        <v>114</v>
      </c>
      <c r="N1" s="97" t="s">
        <v>9</v>
      </c>
      <c r="O1" s="97" t="s">
        <v>49</v>
      </c>
      <c r="P1" s="97" t="s">
        <v>115</v>
      </c>
      <c r="Q1" s="97" t="s">
        <v>56</v>
      </c>
      <c r="R1" s="97" t="s">
        <v>6</v>
      </c>
      <c r="S1" s="97" t="s">
        <v>116</v>
      </c>
      <c r="T1" s="97" t="s">
        <v>117</v>
      </c>
      <c r="U1" s="97" t="s">
        <v>118</v>
      </c>
      <c r="V1" s="153" t="s">
        <v>119</v>
      </c>
      <c r="W1" s="134" t="s">
        <v>120</v>
      </c>
      <c r="X1" s="85" t="s">
        <v>121</v>
      </c>
      <c r="Y1" s="85" t="s">
        <v>122</v>
      </c>
      <c r="Z1" s="85" t="s">
        <v>123</v>
      </c>
      <c r="AA1" s="87" t="s">
        <v>124</v>
      </c>
      <c r="AB1" s="87" t="s">
        <v>125</v>
      </c>
      <c r="AC1" s="87" t="s">
        <v>126</v>
      </c>
      <c r="AD1" s="87" t="s">
        <v>127</v>
      </c>
      <c r="AE1" s="87" t="s">
        <v>128</v>
      </c>
      <c r="AF1" s="87" t="s">
        <v>129</v>
      </c>
      <c r="AG1" s="87" t="s">
        <v>130</v>
      </c>
      <c r="AK1" s="151" t="s">
        <v>131</v>
      </c>
      <c r="AN1" s="151" t="inlineStr">
        <is>
          <t>RUBRO</t>
        </is>
      </c>
    </row>
    <row r="2" spans="1:40" s="129" customFormat="1" ht="30" customHeight="1">
      <c r="A2" s="98" t="s">
        <v>132</v>
      </c>
      <c r="B2" s="98" t="s">
        <v>132</v>
      </c>
      <c r="C2" s="98" t="s">
        <v>133</v>
      </c>
      <c r="D2" s="135">
        <v>10000000</v>
      </c>
      <c r="E2" s="98" t="s">
        <v>134</v>
      </c>
      <c r="F2" s="98"/>
      <c r="G2" s="98"/>
      <c r="H2" s="98" t="s">
        <v>135</v>
      </c>
      <c r="I2" s="99">
        <v>100</v>
      </c>
      <c r="J2" s="98" t="s">
        <v>136</v>
      </c>
      <c r="K2" s="99">
        <v>100</v>
      </c>
      <c r="L2" s="98" t="s">
        <v>137</v>
      </c>
      <c r="M2" s="99">
        <v>50</v>
      </c>
      <c r="N2" s="98"/>
      <c r="O2" s="98" t="s">
        <v>138</v>
      </c>
      <c r="P2" s="98" t="str">
        <f t="shared" ref="P2:P34" si="0">A2&amp;"|"&amp;O2</f>
        <v>ALIANZAS|En seguimiento</v>
      </c>
      <c r="Q2" s="98" t="s">
        <v>139</v>
      </c>
      <c r="R2" s="98" t="str">
        <f>TRIM(tbl_BasePowerBI[[#This Row],[NOMBRE EJECUTIVO]])</f>
        <v>ALIANZAS</v>
      </c>
      <c r="S2" s="98" t="s">
        <v>140</v>
      </c>
      <c r="T2" s="100">
        <v>46176</v>
      </c>
      <c r="U2" s="100">
        <v>46176</v>
      </c>
      <c r="V2" s="154" t="s">
        <v>141</v>
      </c>
      <c r="W2" s="168">
        <v>10000000</v>
      </c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>
        <v>1</v>
      </c>
      <c r="AK2" s="102" t="s">
        <v>142</v>
      </c>
      <c r="AN2" s="97" t="inlineStr">
        <is>
          <t>Entretenimiento</t>
        </is>
      </c>
    </row>
    <row r="3" spans="1:40" s="129" customFormat="1" ht="30" customHeight="1">
      <c r="A3" s="98" t="s">
        <v>132</v>
      </c>
      <c r="B3" s="98" t="s">
        <v>132</v>
      </c>
      <c r="C3" s="98" t="s">
        <v>143</v>
      </c>
      <c r="D3" s="135">
        <v>10000000</v>
      </c>
      <c r="E3" s="98" t="s">
        <v>144</v>
      </c>
      <c r="F3" s="98"/>
      <c r="G3" s="98"/>
      <c r="H3" s="98" t="s">
        <v>135</v>
      </c>
      <c r="I3" s="99">
        <v>100</v>
      </c>
      <c r="J3" s="98" t="s">
        <v>136</v>
      </c>
      <c r="K3" s="99">
        <v>100</v>
      </c>
      <c r="L3" s="98" t="s">
        <v>137</v>
      </c>
      <c r="M3" s="99">
        <v>50</v>
      </c>
      <c r="N3" s="98"/>
      <c r="O3" s="98" t="s">
        <v>138</v>
      </c>
      <c r="P3" s="98" t="str">
        <f t="shared" si="0"/>
        <v>ALIANZAS|En seguimiento</v>
      </c>
      <c r="Q3" s="98" t="s">
        <v>139</v>
      </c>
      <c r="R3" s="98" t="str">
        <f>TRIM(tbl_BasePowerBI[[#This Row],[NOMBRE EJECUTIVO]])</f>
        <v>ALIANZAS</v>
      </c>
      <c r="S3" s="98" t="s">
        <v>140</v>
      </c>
      <c r="T3" s="100">
        <v>46176</v>
      </c>
      <c r="U3" s="100">
        <v>46176</v>
      </c>
      <c r="V3" s="154" t="s">
        <v>145</v>
      </c>
      <c r="W3" s="168">
        <v>10000000</v>
      </c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>
        <v>2</v>
      </c>
      <c r="AK3" s="102" t="s">
        <v>142</v>
      </c>
      <c r="AN3" s="97" t="inlineStr">
        <is>
          <t>Otros</t>
        </is>
      </c>
    </row>
    <row r="4" spans="1:40" s="129" customFormat="1" ht="30" customHeight="1">
      <c r="A4" s="98" t="s">
        <v>146</v>
      </c>
      <c r="B4" s="98" t="s">
        <v>146</v>
      </c>
      <c r="C4" s="98" t="s">
        <v>143</v>
      </c>
      <c r="D4" s="135">
        <v>20000000</v>
      </c>
      <c r="E4" s="98" t="s">
        <v>147</v>
      </c>
      <c r="F4" s="98"/>
      <c r="G4" s="98"/>
      <c r="H4" s="101" t="s">
        <v>135</v>
      </c>
      <c r="I4" s="99">
        <v>100</v>
      </c>
      <c r="J4" s="101" t="s">
        <v>136</v>
      </c>
      <c r="K4" s="99">
        <v>100</v>
      </c>
      <c r="L4" s="98" t="s">
        <v>148</v>
      </c>
      <c r="M4" s="99">
        <v>100</v>
      </c>
      <c r="N4" s="98"/>
      <c r="O4" s="98" t="s">
        <v>138</v>
      </c>
      <c r="P4" s="98" t="str">
        <f t="shared" si="0"/>
        <v>PRODUCTOS GENERALES|En seguimiento</v>
      </c>
      <c r="Q4" s="98" t="s">
        <v>139</v>
      </c>
      <c r="R4" s="98" t="str">
        <f>TRIM(tbl_BasePowerBI[[#This Row],[NOMBRE EJECUTIVO]])</f>
        <v>PRODUCTOS GENERALES</v>
      </c>
      <c r="S4" s="98" t="s">
        <v>140</v>
      </c>
      <c r="T4" s="100">
        <v>46174</v>
      </c>
      <c r="U4" s="100">
        <v>46174</v>
      </c>
      <c r="V4" s="154" t="s">
        <v>149</v>
      </c>
      <c r="W4" s="168">
        <v>20000000</v>
      </c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>
        <v>3</v>
      </c>
      <c r="AK4" s="102" t="s">
        <v>142</v>
      </c>
      <c r="AN4" s="97" t="inlineStr">
        <is>
          <t>Otros</t>
        </is>
      </c>
    </row>
    <row r="5" spans="1:40" s="129" customFormat="1" ht="30" customHeight="1">
      <c r="A5" s="98" t="s">
        <v>146</v>
      </c>
      <c r="B5" s="98" t="s">
        <v>146</v>
      </c>
      <c r="C5" s="98" t="s">
        <v>143</v>
      </c>
      <c r="D5" s="135">
        <v>20000000</v>
      </c>
      <c r="E5" s="98" t="s">
        <v>150</v>
      </c>
      <c r="F5" s="98"/>
      <c r="G5" s="98"/>
      <c r="H5" s="101" t="s">
        <v>135</v>
      </c>
      <c r="I5" s="99">
        <v>100</v>
      </c>
      <c r="J5" s="101" t="s">
        <v>136</v>
      </c>
      <c r="K5" s="99">
        <v>100</v>
      </c>
      <c r="L5" s="98" t="s">
        <v>148</v>
      </c>
      <c r="M5" s="99">
        <v>100</v>
      </c>
      <c r="N5" s="98"/>
      <c r="O5" s="98" t="s">
        <v>138</v>
      </c>
      <c r="P5" s="98" t="str">
        <f t="shared" si="0"/>
        <v>PRODUCTOS GENERALES|En seguimiento</v>
      </c>
      <c r="Q5" s="98" t="s">
        <v>139</v>
      </c>
      <c r="R5" s="98" t="str">
        <f>TRIM(tbl_BasePowerBI[[#This Row],[NOMBRE EJECUTIVO]])</f>
        <v>PRODUCTOS GENERALES</v>
      </c>
      <c r="S5" s="98" t="s">
        <v>140</v>
      </c>
      <c r="T5" s="100">
        <v>46174</v>
      </c>
      <c r="U5" s="100">
        <v>46174</v>
      </c>
      <c r="V5" s="154" t="s">
        <v>151</v>
      </c>
      <c r="W5" s="168">
        <v>20000000</v>
      </c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>
        <v>4</v>
      </c>
      <c r="AK5" s="102" t="s">
        <v>142</v>
      </c>
      <c r="AN5" s="97" t="inlineStr">
        <is>
          <t>Otros</t>
        </is>
      </c>
    </row>
    <row r="6" spans="1:40" s="129" customFormat="1" ht="30" customHeight="1">
      <c r="A6" s="98" t="s">
        <v>146</v>
      </c>
      <c r="B6" s="98" t="s">
        <v>146</v>
      </c>
      <c r="C6" s="98" t="s">
        <v>152</v>
      </c>
      <c r="D6" s="135">
        <v>20000000</v>
      </c>
      <c r="E6" s="98" t="s">
        <v>153</v>
      </c>
      <c r="F6" s="98"/>
      <c r="G6" s="98"/>
      <c r="H6" s="101" t="s">
        <v>135</v>
      </c>
      <c r="I6" s="99">
        <v>100</v>
      </c>
      <c r="J6" s="101" t="s">
        <v>136</v>
      </c>
      <c r="K6" s="99">
        <v>100</v>
      </c>
      <c r="L6" s="98" t="s">
        <v>148</v>
      </c>
      <c r="M6" s="99">
        <v>100</v>
      </c>
      <c r="N6" s="98"/>
      <c r="O6" s="98" t="s">
        <v>138</v>
      </c>
      <c r="P6" s="98" t="str">
        <f t="shared" si="0"/>
        <v>PRODUCTOS GENERALES|En seguimiento</v>
      </c>
      <c r="Q6" s="98" t="s">
        <v>139</v>
      </c>
      <c r="R6" s="98" t="str">
        <f>TRIM(tbl_BasePowerBI[[#This Row],[NOMBRE EJECUTIVO]])</f>
        <v>PRODUCTOS GENERALES</v>
      </c>
      <c r="S6" s="98" t="s">
        <v>140</v>
      </c>
      <c r="T6" s="100">
        <v>46174</v>
      </c>
      <c r="U6" s="100">
        <v>46174</v>
      </c>
      <c r="V6" s="154" t="s">
        <v>154</v>
      </c>
      <c r="W6" s="168">
        <v>20000000</v>
      </c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>
        <v>5</v>
      </c>
      <c r="AK6" s="102" t="s">
        <v>142</v>
      </c>
      <c r="AN6" s="97" t="inlineStr">
        <is>
          <t>Otros</t>
        </is>
      </c>
    </row>
    <row r="7" spans="1:40" s="129" customFormat="1" ht="30" customHeight="1">
      <c r="A7" s="98" t="s">
        <v>146</v>
      </c>
      <c r="B7" s="98" t="s">
        <v>146</v>
      </c>
      <c r="C7" s="98" t="s">
        <v>146</v>
      </c>
      <c r="D7" s="135">
        <v>20000000</v>
      </c>
      <c r="E7" s="98" t="s">
        <v>155</v>
      </c>
      <c r="F7" s="98"/>
      <c r="G7" s="98"/>
      <c r="H7" s="101" t="s">
        <v>135</v>
      </c>
      <c r="I7" s="99">
        <v>100</v>
      </c>
      <c r="J7" s="98" t="s">
        <v>136</v>
      </c>
      <c r="K7" s="99">
        <v>100</v>
      </c>
      <c r="L7" s="98" t="s">
        <v>137</v>
      </c>
      <c r="M7" s="99">
        <v>100</v>
      </c>
      <c r="N7" s="98"/>
      <c r="O7" s="98" t="s">
        <v>138</v>
      </c>
      <c r="P7" s="98" t="str">
        <f t="shared" si="0"/>
        <v>PRODUCTOS GENERALES|En seguimiento</v>
      </c>
      <c r="Q7" s="98" t="s">
        <v>139</v>
      </c>
      <c r="R7" s="98" t="str">
        <f>TRIM(tbl_BasePowerBI[[#This Row],[NOMBRE EJECUTIVO]])</f>
        <v>PRODUCTOS GENERALES</v>
      </c>
      <c r="S7" s="98" t="s">
        <v>140</v>
      </c>
      <c r="T7" s="100">
        <v>46174</v>
      </c>
      <c r="U7" s="100">
        <v>46174</v>
      </c>
      <c r="V7" s="154" t="s">
        <v>156</v>
      </c>
      <c r="W7" s="168">
        <v>20000000</v>
      </c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>
        <v>6</v>
      </c>
      <c r="AK7" s="102" t="s">
        <v>142</v>
      </c>
      <c r="AN7" s="97" t="inlineStr">
        <is>
          <t>Otros</t>
        </is>
      </c>
    </row>
    <row r="8" spans="1:40" s="129" customFormat="1" ht="30" customHeight="1">
      <c r="A8" s="98" t="s">
        <v>146</v>
      </c>
      <c r="B8" s="98" t="s">
        <v>146</v>
      </c>
      <c r="C8" s="98" t="s">
        <v>146</v>
      </c>
      <c r="D8" s="135">
        <v>20000000</v>
      </c>
      <c r="E8" s="98" t="s">
        <v>157</v>
      </c>
      <c r="F8" s="98"/>
      <c r="G8" s="98"/>
      <c r="H8" s="101" t="s">
        <v>135</v>
      </c>
      <c r="I8" s="99">
        <v>100</v>
      </c>
      <c r="J8" s="98" t="s">
        <v>136</v>
      </c>
      <c r="K8" s="99">
        <v>100</v>
      </c>
      <c r="L8" s="98" t="s">
        <v>137</v>
      </c>
      <c r="M8" s="99">
        <v>100</v>
      </c>
      <c r="N8" s="98"/>
      <c r="O8" s="98" t="s">
        <v>138</v>
      </c>
      <c r="P8" s="98" t="str">
        <f t="shared" si="0"/>
        <v>PRODUCTOS GENERALES|En seguimiento</v>
      </c>
      <c r="Q8" s="98" t="s">
        <v>139</v>
      </c>
      <c r="R8" s="98" t="str">
        <f>TRIM(tbl_BasePowerBI[[#This Row],[NOMBRE EJECUTIVO]])</f>
        <v>PRODUCTOS GENERALES</v>
      </c>
      <c r="S8" s="98" t="s">
        <v>140</v>
      </c>
      <c r="T8" s="100">
        <v>46174</v>
      </c>
      <c r="U8" s="100">
        <v>46174</v>
      </c>
      <c r="V8" s="154" t="s">
        <v>158</v>
      </c>
      <c r="W8" s="168">
        <v>20000000</v>
      </c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>
        <v>7</v>
      </c>
      <c r="AK8" s="102" t="s">
        <v>142</v>
      </c>
      <c r="AN8" s="97" t="inlineStr">
        <is>
          <t>Otros</t>
        </is>
      </c>
    </row>
    <row r="9" spans="1:40" s="129" customFormat="1" ht="30" customHeight="1">
      <c r="A9" s="98" t="s">
        <v>146</v>
      </c>
      <c r="B9" s="98" t="s">
        <v>146</v>
      </c>
      <c r="C9" s="98" t="s">
        <v>146</v>
      </c>
      <c r="D9" s="135">
        <v>20000000</v>
      </c>
      <c r="E9" s="98" t="s">
        <v>159</v>
      </c>
      <c r="F9" s="98"/>
      <c r="G9" s="98"/>
      <c r="H9" s="101" t="s">
        <v>135</v>
      </c>
      <c r="I9" s="99">
        <v>100</v>
      </c>
      <c r="J9" s="98" t="s">
        <v>136</v>
      </c>
      <c r="K9" s="99">
        <v>100</v>
      </c>
      <c r="L9" s="98" t="s">
        <v>137</v>
      </c>
      <c r="M9" s="99">
        <v>100</v>
      </c>
      <c r="N9" s="98"/>
      <c r="O9" s="98" t="s">
        <v>138</v>
      </c>
      <c r="P9" s="98" t="str">
        <f t="shared" si="0"/>
        <v>PRODUCTOS GENERALES|En seguimiento</v>
      </c>
      <c r="Q9" s="98" t="s">
        <v>139</v>
      </c>
      <c r="R9" s="98" t="str">
        <f>TRIM(tbl_BasePowerBI[[#This Row],[NOMBRE EJECUTIVO]])</f>
        <v>PRODUCTOS GENERALES</v>
      </c>
      <c r="S9" s="98" t="s">
        <v>140</v>
      </c>
      <c r="T9" s="100">
        <v>46174</v>
      </c>
      <c r="U9" s="100">
        <v>46174</v>
      </c>
      <c r="V9" s="154" t="s">
        <v>160</v>
      </c>
      <c r="W9" s="168">
        <v>20000000</v>
      </c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>
        <v>8</v>
      </c>
      <c r="AK9" s="102" t="s">
        <v>142</v>
      </c>
      <c r="AN9" s="97" t="inlineStr">
        <is>
          <t>Otros</t>
        </is>
      </c>
    </row>
    <row r="10" spans="1:40" s="129" customFormat="1" ht="30" customHeight="1">
      <c r="A10" s="98" t="s">
        <v>146</v>
      </c>
      <c r="B10" s="98" t="s">
        <v>146</v>
      </c>
      <c r="C10" s="98" t="s">
        <v>146</v>
      </c>
      <c r="D10" s="135">
        <v>20000000</v>
      </c>
      <c r="E10" s="98" t="s">
        <v>161</v>
      </c>
      <c r="F10" s="98"/>
      <c r="G10" s="98"/>
      <c r="H10" s="101" t="s">
        <v>135</v>
      </c>
      <c r="I10" s="99">
        <v>100</v>
      </c>
      <c r="J10" s="98" t="s">
        <v>136</v>
      </c>
      <c r="K10" s="99">
        <v>100</v>
      </c>
      <c r="L10" s="98" t="s">
        <v>137</v>
      </c>
      <c r="M10" s="99">
        <v>100</v>
      </c>
      <c r="N10" s="98"/>
      <c r="O10" s="98" t="s">
        <v>138</v>
      </c>
      <c r="P10" s="98" t="str">
        <f t="shared" si="0"/>
        <v>PRODUCTOS GENERALES|En seguimiento</v>
      </c>
      <c r="Q10" s="98" t="s">
        <v>139</v>
      </c>
      <c r="R10" s="98" t="str">
        <f>TRIM(tbl_BasePowerBI[[#This Row],[NOMBRE EJECUTIVO]])</f>
        <v>PRODUCTOS GENERALES</v>
      </c>
      <c r="S10" s="98" t="s">
        <v>140</v>
      </c>
      <c r="T10" s="100">
        <v>46174</v>
      </c>
      <c r="U10" s="100">
        <v>46174</v>
      </c>
      <c r="V10" s="154" t="s">
        <v>162</v>
      </c>
      <c r="W10" s="168">
        <v>20000000</v>
      </c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>
        <v>9</v>
      </c>
      <c r="AK10" s="102" t="s">
        <v>142</v>
      </c>
      <c r="AN10" s="97" t="inlineStr">
        <is>
          <t>Otros</t>
        </is>
      </c>
    </row>
    <row r="11" spans="1:40" s="129" customFormat="1" ht="30" customHeight="1">
      <c r="A11" s="98" t="s">
        <v>146</v>
      </c>
      <c r="B11" s="98" t="s">
        <v>146</v>
      </c>
      <c r="C11" s="98" t="s">
        <v>146</v>
      </c>
      <c r="D11" s="135">
        <v>20000000</v>
      </c>
      <c r="E11" s="98" t="s">
        <v>163</v>
      </c>
      <c r="F11" s="98"/>
      <c r="G11" s="98"/>
      <c r="H11" s="101" t="s">
        <v>135</v>
      </c>
      <c r="I11" s="99">
        <v>100</v>
      </c>
      <c r="J11" s="98" t="s">
        <v>136</v>
      </c>
      <c r="K11" s="99">
        <v>100</v>
      </c>
      <c r="L11" s="98" t="s">
        <v>137</v>
      </c>
      <c r="M11" s="99">
        <v>100</v>
      </c>
      <c r="N11" s="98"/>
      <c r="O11" s="98" t="s">
        <v>138</v>
      </c>
      <c r="P11" s="98" t="str">
        <f t="shared" si="0"/>
        <v>PRODUCTOS GENERALES|En seguimiento</v>
      </c>
      <c r="Q11" s="98" t="s">
        <v>139</v>
      </c>
      <c r="R11" s="98" t="str">
        <f>TRIM(tbl_BasePowerBI[[#This Row],[NOMBRE EJECUTIVO]])</f>
        <v>PRODUCTOS GENERALES</v>
      </c>
      <c r="S11" s="98" t="s">
        <v>140</v>
      </c>
      <c r="T11" s="100">
        <v>46174</v>
      </c>
      <c r="U11" s="100">
        <v>46174</v>
      </c>
      <c r="V11" s="155"/>
      <c r="W11" s="168">
        <v>20000000</v>
      </c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>
        <v>10</v>
      </c>
      <c r="AK11" s="102" t="s">
        <v>142</v>
      </c>
      <c r="AN11" s="97" t="inlineStr">
        <is>
          <t>Otros</t>
        </is>
      </c>
    </row>
    <row r="12" spans="1:40" s="129" customFormat="1" ht="30" customHeight="1">
      <c r="A12" s="98" t="s">
        <v>146</v>
      </c>
      <c r="B12" s="98" t="s">
        <v>146</v>
      </c>
      <c r="C12" s="98" t="s">
        <v>146</v>
      </c>
      <c r="D12" s="135">
        <v>20000000</v>
      </c>
      <c r="E12" s="98" t="s">
        <v>164</v>
      </c>
      <c r="F12" s="98"/>
      <c r="G12" s="98"/>
      <c r="H12" s="101" t="s">
        <v>135</v>
      </c>
      <c r="I12" s="99">
        <v>100</v>
      </c>
      <c r="J12" s="98" t="s">
        <v>136</v>
      </c>
      <c r="K12" s="99">
        <v>100</v>
      </c>
      <c r="L12" s="98" t="s">
        <v>137</v>
      </c>
      <c r="M12" s="99">
        <v>100</v>
      </c>
      <c r="N12" s="98"/>
      <c r="O12" s="98" t="s">
        <v>138</v>
      </c>
      <c r="P12" s="98" t="str">
        <f t="shared" si="0"/>
        <v>PRODUCTOS GENERALES|En seguimiento</v>
      </c>
      <c r="Q12" s="98" t="s">
        <v>139</v>
      </c>
      <c r="R12" s="98" t="str">
        <f>TRIM(tbl_BasePowerBI[[#This Row],[NOMBRE EJECUTIVO]])</f>
        <v>PRODUCTOS GENERALES</v>
      </c>
      <c r="S12" s="98" t="s">
        <v>140</v>
      </c>
      <c r="T12" s="100">
        <v>46174</v>
      </c>
      <c r="U12" s="100">
        <v>46174</v>
      </c>
      <c r="V12" s="154" t="s">
        <v>165</v>
      </c>
      <c r="W12" s="168">
        <v>20000000</v>
      </c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>
        <v>11</v>
      </c>
      <c r="AK12" s="102" t="s">
        <v>142</v>
      </c>
      <c r="AN12" s="97" t="inlineStr">
        <is>
          <t>Otros</t>
        </is>
      </c>
    </row>
    <row r="13" spans="1:40" s="129" customFormat="1" ht="30" customHeight="1">
      <c r="A13" s="98" t="s">
        <v>146</v>
      </c>
      <c r="B13" s="98" t="s">
        <v>146</v>
      </c>
      <c r="C13" s="98" t="s">
        <v>146</v>
      </c>
      <c r="D13" s="135">
        <v>20000000</v>
      </c>
      <c r="E13" s="98" t="s">
        <v>166</v>
      </c>
      <c r="F13" s="98"/>
      <c r="G13" s="98"/>
      <c r="H13" s="101" t="s">
        <v>135</v>
      </c>
      <c r="I13" s="99">
        <v>100</v>
      </c>
      <c r="J13" s="98" t="s">
        <v>136</v>
      </c>
      <c r="K13" s="99">
        <v>100</v>
      </c>
      <c r="L13" s="98" t="s">
        <v>137</v>
      </c>
      <c r="M13" s="99">
        <v>100</v>
      </c>
      <c r="N13" s="98"/>
      <c r="O13" s="98" t="s">
        <v>138</v>
      </c>
      <c r="P13" s="98" t="str">
        <f t="shared" si="0"/>
        <v>PRODUCTOS GENERALES|En seguimiento</v>
      </c>
      <c r="Q13" s="98" t="s">
        <v>139</v>
      </c>
      <c r="R13" s="98" t="str">
        <f>TRIM(tbl_BasePowerBI[[#This Row],[NOMBRE EJECUTIVO]])</f>
        <v>PRODUCTOS GENERALES</v>
      </c>
      <c r="S13" s="98" t="s">
        <v>140</v>
      </c>
      <c r="T13" s="100">
        <v>46174</v>
      </c>
      <c r="U13" s="100">
        <v>46174</v>
      </c>
      <c r="V13" s="155"/>
      <c r="W13" s="168">
        <v>20000000</v>
      </c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>
        <v>12</v>
      </c>
      <c r="AK13" s="102" t="s">
        <v>142</v>
      </c>
      <c r="AN13" s="97" t="inlineStr">
        <is>
          <t>Otros</t>
        </is>
      </c>
    </row>
    <row r="14" spans="1:40" s="129" customFormat="1" ht="56.25" customHeight="1">
      <c r="A14" s="98" t="s">
        <v>146</v>
      </c>
      <c r="B14" s="98" t="s">
        <v>146</v>
      </c>
      <c r="C14" s="98" t="s">
        <v>167</v>
      </c>
      <c r="D14" s="135">
        <v>20000000</v>
      </c>
      <c r="E14" s="101" t="s">
        <v>168</v>
      </c>
      <c r="F14" s="98"/>
      <c r="G14" s="98"/>
      <c r="H14" s="101" t="s">
        <v>169</v>
      </c>
      <c r="I14" s="99">
        <v>100</v>
      </c>
      <c r="J14" s="98" t="s">
        <v>170</v>
      </c>
      <c r="K14" s="99">
        <v>100</v>
      </c>
      <c r="L14" s="98" t="s">
        <v>137</v>
      </c>
      <c r="M14" s="99"/>
      <c r="N14" s="98"/>
      <c r="O14" s="98" t="s">
        <v>138</v>
      </c>
      <c r="P14" s="98" t="str">
        <f t="shared" si="0"/>
        <v>PRODUCTOS GENERALES|En seguimiento</v>
      </c>
      <c r="Q14" s="98" t="s">
        <v>171</v>
      </c>
      <c r="R14" s="98" t="s">
        <v>146</v>
      </c>
      <c r="S14" s="98" t="s">
        <v>172</v>
      </c>
      <c r="T14" s="100">
        <v>46209</v>
      </c>
      <c r="U14" s="100">
        <v>46209</v>
      </c>
      <c r="V14" s="154" t="s">
        <v>173</v>
      </c>
      <c r="W14" s="168">
        <v>20000000</v>
      </c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>
        <v>13</v>
      </c>
      <c r="AK14" s="102" t="s">
        <v>142</v>
      </c>
      <c r="AN14" s="97" t="inlineStr">
        <is>
          <t>Otros</t>
        </is>
      </c>
    </row>
    <row r="15" spans="1:40" s="129" customFormat="1" ht="30" customHeight="1">
      <c r="A15" s="98" t="s">
        <v>0</v>
      </c>
      <c r="B15" s="101" t="s">
        <v>174</v>
      </c>
      <c r="C15" s="98" t="s">
        <v>175</v>
      </c>
      <c r="D15" s="135">
        <v>40000000</v>
      </c>
      <c r="E15" s="98" t="s">
        <v>176</v>
      </c>
      <c r="F15" s="98"/>
      <c r="G15" s="98"/>
      <c r="H15" s="101" t="s">
        <v>135</v>
      </c>
      <c r="I15" s="99">
        <v>100</v>
      </c>
      <c r="J15" s="98" t="s">
        <v>136</v>
      </c>
      <c r="K15" s="99">
        <v>100</v>
      </c>
      <c r="L15" s="98" t="s">
        <v>137</v>
      </c>
      <c r="M15" s="99">
        <v>50</v>
      </c>
      <c r="N15" s="98"/>
      <c r="O15" s="98" t="s">
        <v>138</v>
      </c>
      <c r="P15" s="98" t="str">
        <f t="shared" si="0"/>
        <v>N1|En seguimiento</v>
      </c>
      <c r="Q15" s="98" t="s">
        <v>139</v>
      </c>
      <c r="R15" s="98" t="str">
        <f>TRIM(tbl_BasePowerBI[[#This Row],[NOMBRE EJECUTIVO]])</f>
        <v>Andrea Morales</v>
      </c>
      <c r="S15" s="98" t="s">
        <v>140</v>
      </c>
      <c r="T15" s="100">
        <v>46195</v>
      </c>
      <c r="U15" s="106">
        <v>46225</v>
      </c>
      <c r="V15" s="156" t="s">
        <v>177</v>
      </c>
      <c r="W15" s="169">
        <v>42014863</v>
      </c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>
        <v>14</v>
      </c>
      <c r="AK15" s="102" t="s">
        <v>178</v>
      </c>
      <c r="AN15" s="97" t="inlineStr">
        <is>
          <t>Consumo Masivo</t>
        </is>
      </c>
    </row>
    <row r="16" spans="1:40" s="129" customFormat="1" ht="30" customHeight="1">
      <c r="A16" s="102" t="s">
        <v>0</v>
      </c>
      <c r="B16" s="103" t="s">
        <v>179</v>
      </c>
      <c r="C16" s="104" t="s">
        <v>180</v>
      </c>
      <c r="D16" s="136">
        <v>0</v>
      </c>
      <c r="E16" s="102" t="s">
        <v>181</v>
      </c>
      <c r="F16" s="102"/>
      <c r="G16" s="102"/>
      <c r="H16" s="103" t="s">
        <v>135</v>
      </c>
      <c r="I16" s="105"/>
      <c r="J16" s="102"/>
      <c r="K16" s="105"/>
      <c r="L16" s="102"/>
      <c r="M16" s="105"/>
      <c r="N16" s="102"/>
      <c r="O16" s="102" t="s">
        <v>182</v>
      </c>
      <c r="P16" s="102" t="str">
        <f t="shared" si="0"/>
        <v>N1|Por Mejorar</v>
      </c>
      <c r="Q16" s="102" t="s">
        <v>171</v>
      </c>
      <c r="R16" s="102" t="str">
        <f>TRIM(tbl_BasePowerBI[[#This Row],[NOMBRE EJECUTIVO]])</f>
        <v>Diana Contreras Rodriguez</v>
      </c>
      <c r="S16" s="102"/>
      <c r="T16" s="106"/>
      <c r="U16" s="106"/>
      <c r="V16" s="157"/>
      <c r="W16" s="169">
        <v>0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>
        <v>15</v>
      </c>
      <c r="AK16" s="102"/>
      <c r="AN16" s="97" t="inlineStr">
        <is>
          <t>Servicios</t>
        </is>
      </c>
    </row>
    <row r="17" spans="1:40" s="129" customFormat="1" ht="30" customHeight="1">
      <c r="A17" s="102" t="s">
        <v>0</v>
      </c>
      <c r="B17" s="103" t="s">
        <v>183</v>
      </c>
      <c r="C17" s="104" t="s">
        <v>184</v>
      </c>
      <c r="D17" s="136">
        <v>0</v>
      </c>
      <c r="E17" s="102" t="s">
        <v>181</v>
      </c>
      <c r="F17" s="102"/>
      <c r="G17" s="102"/>
      <c r="H17" s="103" t="s">
        <v>135</v>
      </c>
      <c r="I17" s="105"/>
      <c r="J17" s="102"/>
      <c r="K17" s="105"/>
      <c r="L17" s="102"/>
      <c r="M17" s="105"/>
      <c r="N17" s="102"/>
      <c r="O17" s="102" t="s">
        <v>182</v>
      </c>
      <c r="P17" s="102" t="str">
        <f t="shared" si="0"/>
        <v>N1|Por Mejorar</v>
      </c>
      <c r="Q17" s="102" t="s">
        <v>171</v>
      </c>
      <c r="R17" s="102" t="str">
        <f>TRIM(tbl_BasePowerBI[[#This Row],[NOMBRE EJECUTIVO]])</f>
        <v>Rosa Diaz</v>
      </c>
      <c r="S17" s="102"/>
      <c r="T17" s="106"/>
      <c r="U17" s="106"/>
      <c r="V17" s="157"/>
      <c r="W17" s="169">
        <v>0</v>
      </c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>
        <v>16</v>
      </c>
      <c r="AK17" s="102"/>
      <c r="AN17" s="97" t="inlineStr">
        <is>
          <t>Salud</t>
        </is>
      </c>
    </row>
    <row r="18" spans="1:40" s="129" customFormat="1" ht="30" customHeight="1">
      <c r="A18" s="102" t="s">
        <v>0</v>
      </c>
      <c r="B18" s="103" t="s">
        <v>183</v>
      </c>
      <c r="C18" s="104" t="s">
        <v>185</v>
      </c>
      <c r="D18" s="136">
        <v>0</v>
      </c>
      <c r="E18" s="102" t="s">
        <v>181</v>
      </c>
      <c r="F18" s="102"/>
      <c r="G18" s="102"/>
      <c r="H18" s="103" t="s">
        <v>135</v>
      </c>
      <c r="I18" s="105"/>
      <c r="J18" s="102"/>
      <c r="K18" s="105"/>
      <c r="L18" s="102"/>
      <c r="M18" s="105"/>
      <c r="N18" s="102"/>
      <c r="O18" s="102" t="s">
        <v>182</v>
      </c>
      <c r="P18" s="102" t="str">
        <f t="shared" si="0"/>
        <v>N1|Por Mejorar</v>
      </c>
      <c r="Q18" s="102" t="s">
        <v>171</v>
      </c>
      <c r="R18" s="102" t="str">
        <f>TRIM(tbl_BasePowerBI[[#This Row],[NOMBRE EJECUTIVO]])</f>
        <v>Rosa Diaz</v>
      </c>
      <c r="S18" s="102"/>
      <c r="T18" s="106"/>
      <c r="U18" s="106"/>
      <c r="V18" s="157"/>
      <c r="W18" s="169">
        <v>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>
        <v>17</v>
      </c>
      <c r="AK18" s="102"/>
      <c r="AN18" s="97" t="inlineStr">
        <is>
          <t>Consumo Masivo</t>
        </is>
      </c>
    </row>
    <row r="19" spans="1:40" s="129" customFormat="1" ht="30" customHeight="1">
      <c r="A19" s="98" t="s">
        <v>0</v>
      </c>
      <c r="B19" s="101" t="s">
        <v>183</v>
      </c>
      <c r="C19" s="107" t="s">
        <v>186</v>
      </c>
      <c r="D19" s="135">
        <v>50000000</v>
      </c>
      <c r="E19" s="98" t="s">
        <v>181</v>
      </c>
      <c r="F19" s="98"/>
      <c r="G19" s="98"/>
      <c r="H19" s="101" t="s">
        <v>135</v>
      </c>
      <c r="I19" s="99">
        <v>100</v>
      </c>
      <c r="J19" s="98" t="s">
        <v>136</v>
      </c>
      <c r="K19" s="99">
        <v>100</v>
      </c>
      <c r="L19" s="98"/>
      <c r="M19" s="99"/>
      <c r="N19" s="98"/>
      <c r="O19" s="98" t="s">
        <v>138</v>
      </c>
      <c r="P19" s="98" t="str">
        <f t="shared" si="0"/>
        <v>N1|En seguimiento</v>
      </c>
      <c r="Q19" s="98" t="s">
        <v>171</v>
      </c>
      <c r="R19" s="98" t="str">
        <f>TRIM(tbl_BasePowerBI[[#This Row],[NOMBRE EJECUTIVO]])</f>
        <v>Rosa Diaz</v>
      </c>
      <c r="S19" s="98" t="s">
        <v>172</v>
      </c>
      <c r="T19" s="100">
        <v>46224</v>
      </c>
      <c r="U19" s="100">
        <v>46233</v>
      </c>
      <c r="V19" s="154" t="s">
        <v>187</v>
      </c>
      <c r="W19" s="168">
        <v>58000000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>
        <v>18</v>
      </c>
      <c r="AK19" s="102" t="s">
        <v>188</v>
      </c>
      <c r="AN19" s="97" t="inlineStr">
        <is>
          <t>Automotriz</t>
        </is>
      </c>
    </row>
    <row r="20" spans="1:40" s="129" customFormat="1" ht="30" customHeight="1">
      <c r="A20" s="98" t="s">
        <v>0</v>
      </c>
      <c r="B20" s="101" t="s">
        <v>183</v>
      </c>
      <c r="C20" s="107" t="s">
        <v>189</v>
      </c>
      <c r="D20" s="135">
        <v>50000000</v>
      </c>
      <c r="E20" s="98" t="s">
        <v>181</v>
      </c>
      <c r="F20" s="98"/>
      <c r="G20" s="98"/>
      <c r="H20" s="101" t="s">
        <v>135</v>
      </c>
      <c r="I20" s="99">
        <v>100</v>
      </c>
      <c r="J20" s="98" t="s">
        <v>136</v>
      </c>
      <c r="K20" s="99">
        <v>100</v>
      </c>
      <c r="L20" s="98"/>
      <c r="M20" s="99"/>
      <c r="N20" s="98"/>
      <c r="O20" s="98" t="s">
        <v>138</v>
      </c>
      <c r="P20" s="98" t="str">
        <f t="shared" ref="P20" si="1">A20&amp;"|"&amp;O20</f>
        <v>N1|En seguimiento</v>
      </c>
      <c r="Q20" s="98" t="s">
        <v>171</v>
      </c>
      <c r="R20" s="98" t="str">
        <f>TRIM(tbl_BasePowerBI[[#This Row],[NOMBRE EJECUTIVO]])</f>
        <v>Rosa Diaz</v>
      </c>
      <c r="S20" s="98" t="s">
        <v>172</v>
      </c>
      <c r="T20" s="100">
        <v>46224</v>
      </c>
      <c r="U20" s="100">
        <v>46233</v>
      </c>
      <c r="V20" s="154" t="s">
        <v>190</v>
      </c>
      <c r="W20" s="168">
        <v>58000000</v>
      </c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86"/>
      <c r="AI20" s="86"/>
      <c r="AJ20" s="86"/>
      <c r="AK20" s="102" t="s">
        <v>188</v>
      </c>
      <c r="AN20" s="97" t="inlineStr">
        <is>
          <t>Automotriz</t>
        </is>
      </c>
    </row>
    <row r="21" spans="1:40" s="129" customFormat="1" ht="30" customHeight="1">
      <c r="A21" s="102" t="s">
        <v>0</v>
      </c>
      <c r="B21" s="103" t="s">
        <v>183</v>
      </c>
      <c r="C21" s="104" t="s">
        <v>191</v>
      </c>
      <c r="D21" s="136">
        <v>0</v>
      </c>
      <c r="E21" s="102" t="s">
        <v>181</v>
      </c>
      <c r="F21" s="102"/>
      <c r="G21" s="102"/>
      <c r="H21" s="103" t="s">
        <v>135</v>
      </c>
      <c r="I21" s="105"/>
      <c r="J21" s="102"/>
      <c r="K21" s="105"/>
      <c r="L21" s="102"/>
      <c r="M21" s="105"/>
      <c r="N21" s="102"/>
      <c r="O21" s="102" t="s">
        <v>182</v>
      </c>
      <c r="P21" s="102" t="str">
        <f t="shared" si="0"/>
        <v>N1|Por Mejorar</v>
      </c>
      <c r="Q21" s="102" t="s">
        <v>171</v>
      </c>
      <c r="R21" s="102" t="str">
        <f>TRIM(tbl_BasePowerBI[[#This Row],[NOMBRE EJECUTIVO]])</f>
        <v>Rosa Diaz</v>
      </c>
      <c r="S21" s="102"/>
      <c r="T21" s="106"/>
      <c r="U21" s="106"/>
      <c r="V21" s="157"/>
      <c r="W21" s="169">
        <v>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>
        <v>19</v>
      </c>
      <c r="AK21" s="102"/>
      <c r="AN21" s="97" t="inlineStr">
        <is>
          <t>Automotriz</t>
        </is>
      </c>
    </row>
    <row r="22" spans="1:40" s="129" customFormat="1" ht="30" customHeight="1">
      <c r="A22" s="98" t="s">
        <v>0</v>
      </c>
      <c r="B22" s="101" t="s">
        <v>192</v>
      </c>
      <c r="C22" s="107" t="s">
        <v>193</v>
      </c>
      <c r="D22" s="136">
        <v>33580000</v>
      </c>
      <c r="E22" s="98" t="s">
        <v>194</v>
      </c>
      <c r="F22" s="98"/>
      <c r="G22" s="98"/>
      <c r="H22" s="101" t="s">
        <v>195</v>
      </c>
      <c r="I22" s="99">
        <v>100</v>
      </c>
      <c r="J22" s="98"/>
      <c r="K22" s="99">
        <v>100</v>
      </c>
      <c r="L22" s="98"/>
      <c r="M22" s="99">
        <v>50</v>
      </c>
      <c r="N22" s="98"/>
      <c r="O22" s="98" t="s">
        <v>138</v>
      </c>
      <c r="P22" s="98" t="str">
        <f t="shared" si="0"/>
        <v>N1|En seguimiento</v>
      </c>
      <c r="Q22" s="98" t="s">
        <v>171</v>
      </c>
      <c r="R22" s="98" t="str">
        <f>TRIM(tbl_BasePowerBI[[#This Row],[NOMBRE EJECUTIVO]])</f>
        <v>Felipe Guillen</v>
      </c>
      <c r="S22" s="98" t="s">
        <v>196</v>
      </c>
      <c r="T22" s="106">
        <v>46267</v>
      </c>
      <c r="U22" s="106">
        <v>46267</v>
      </c>
      <c r="V22" s="200" t="s">
        <v>197</v>
      </c>
      <c r="W22" s="169">
        <v>33580000</v>
      </c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>
        <v>21</v>
      </c>
      <c r="AK22" s="199" t="s">
        <v>198</v>
      </c>
      <c r="AN22" s="97" t="inlineStr">
        <is>
          <t>Tecnología</t>
        </is>
      </c>
    </row>
    <row r="23" spans="1:40" s="129" customFormat="1" ht="30" customHeight="1">
      <c r="A23" s="102" t="s">
        <v>0</v>
      </c>
      <c r="B23" s="103" t="s">
        <v>179</v>
      </c>
      <c r="C23" s="104" t="s">
        <v>199</v>
      </c>
      <c r="D23" s="136">
        <v>0</v>
      </c>
      <c r="E23" s="102" t="s">
        <v>181</v>
      </c>
      <c r="F23" s="102"/>
      <c r="G23" s="102"/>
      <c r="H23" s="103" t="s">
        <v>135</v>
      </c>
      <c r="I23" s="105"/>
      <c r="J23" s="102"/>
      <c r="K23" s="105"/>
      <c r="L23" s="102"/>
      <c r="M23" s="105"/>
      <c r="N23" s="102"/>
      <c r="O23" s="102" t="s">
        <v>182</v>
      </c>
      <c r="P23" s="102" t="str">
        <f t="shared" si="0"/>
        <v>N1|Por Mejorar</v>
      </c>
      <c r="Q23" s="102" t="s">
        <v>171</v>
      </c>
      <c r="R23" s="102" t="str">
        <f>TRIM(tbl_BasePowerBI[[#This Row],[NOMBRE EJECUTIVO]])</f>
        <v>Diana Contreras Rodriguez</v>
      </c>
      <c r="S23" s="102"/>
      <c r="T23" s="106"/>
      <c r="U23" s="106"/>
      <c r="V23" s="157"/>
      <c r="W23" s="169">
        <v>0</v>
      </c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>
        <v>23</v>
      </c>
      <c r="AK23" s="102"/>
      <c r="AN23" s="97" t="inlineStr">
        <is>
          <t>Consumo Masivo</t>
        </is>
      </c>
    </row>
    <row r="24" spans="1:40" s="129" customFormat="1" ht="30" customHeight="1">
      <c r="A24" s="102" t="s">
        <v>0</v>
      </c>
      <c r="B24" s="103" t="s">
        <v>192</v>
      </c>
      <c r="C24" s="104" t="s">
        <v>200</v>
      </c>
      <c r="D24" s="136">
        <v>0</v>
      </c>
      <c r="E24" s="102" t="s">
        <v>181</v>
      </c>
      <c r="F24" s="102"/>
      <c r="G24" s="102"/>
      <c r="H24" s="103" t="s">
        <v>135</v>
      </c>
      <c r="I24" s="105"/>
      <c r="J24" s="102"/>
      <c r="K24" s="105"/>
      <c r="L24" s="102"/>
      <c r="M24" s="105"/>
      <c r="N24" s="102"/>
      <c r="O24" s="102" t="s">
        <v>182</v>
      </c>
      <c r="P24" s="102" t="str">
        <f t="shared" si="0"/>
        <v>N1|Por Mejorar</v>
      </c>
      <c r="Q24" s="102" t="s">
        <v>171</v>
      </c>
      <c r="R24" s="102" t="str">
        <f>TRIM(tbl_BasePowerBI[[#This Row],[NOMBRE EJECUTIVO]])</f>
        <v>Felipe Guillen</v>
      </c>
      <c r="S24" s="102"/>
      <c r="T24" s="106"/>
      <c r="U24" s="106"/>
      <c r="V24" s="157"/>
      <c r="W24" s="169">
        <v>0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>
        <v>24</v>
      </c>
      <c r="AK24" s="102"/>
      <c r="AN24" s="97" t="inlineStr">
        <is>
          <t>Consumo Masivo</t>
        </is>
      </c>
    </row>
    <row r="25" spans="1:40" s="129" customFormat="1" ht="60" customHeight="1">
      <c r="A25" s="98" t="s">
        <v>0</v>
      </c>
      <c r="B25" s="101" t="s">
        <v>201</v>
      </c>
      <c r="C25" s="107" t="s">
        <v>202</v>
      </c>
      <c r="D25" s="135">
        <v>30000000</v>
      </c>
      <c r="E25" s="98" t="s">
        <v>181</v>
      </c>
      <c r="F25" s="98"/>
      <c r="G25" s="98"/>
      <c r="H25" s="101" t="s">
        <v>135</v>
      </c>
      <c r="I25" s="99"/>
      <c r="J25" s="98" t="s">
        <v>203</v>
      </c>
      <c r="K25" s="99">
        <v>100</v>
      </c>
      <c r="L25" s="98" t="s">
        <v>204</v>
      </c>
      <c r="M25" s="99">
        <v>50</v>
      </c>
      <c r="N25" s="98"/>
      <c r="O25" s="98" t="s">
        <v>138</v>
      </c>
      <c r="P25" s="98" t="str">
        <f t="shared" si="0"/>
        <v>N1|En seguimiento</v>
      </c>
      <c r="Q25" s="98" t="s">
        <v>171</v>
      </c>
      <c r="R25" s="98" t="str">
        <f>TRIM(tbl_BasePowerBI[[#This Row],[NOMBRE EJECUTIVO]])</f>
        <v>Carolina Diaz</v>
      </c>
      <c r="S25" s="98" t="s">
        <v>205</v>
      </c>
      <c r="T25" s="100">
        <v>46247</v>
      </c>
      <c r="U25" s="100">
        <v>46254</v>
      </c>
      <c r="V25" s="200" t="s">
        <v>206</v>
      </c>
      <c r="W25" s="168">
        <v>50687000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>
        <v>25</v>
      </c>
      <c r="AK25" s="102" t="s">
        <v>178</v>
      </c>
      <c r="AN25" s="97" t="inlineStr">
        <is>
          <t>Salud</t>
        </is>
      </c>
    </row>
    <row r="26" spans="1:40" s="129" customFormat="1" ht="30" customHeight="1">
      <c r="A26" s="102" t="s">
        <v>0</v>
      </c>
      <c r="B26" s="103" t="s">
        <v>201</v>
      </c>
      <c r="C26" s="104" t="s">
        <v>207</v>
      </c>
      <c r="D26" s="136">
        <v>0</v>
      </c>
      <c r="E26" s="102" t="s">
        <v>181</v>
      </c>
      <c r="F26" s="102"/>
      <c r="G26" s="102"/>
      <c r="H26" s="103" t="s">
        <v>135</v>
      </c>
      <c r="I26" s="105"/>
      <c r="J26" s="102"/>
      <c r="K26" s="105"/>
      <c r="L26" s="102"/>
      <c r="M26" s="105"/>
      <c r="N26" s="102"/>
      <c r="O26" s="102" t="s">
        <v>182</v>
      </c>
      <c r="P26" s="102" t="str">
        <f t="shared" si="0"/>
        <v>N1|Por Mejorar</v>
      </c>
      <c r="Q26" s="102" t="s">
        <v>171</v>
      </c>
      <c r="R26" s="102" t="str">
        <f>TRIM(tbl_BasePowerBI[[#This Row],[NOMBRE EJECUTIVO]])</f>
        <v>Carolina Diaz</v>
      </c>
      <c r="S26" s="102"/>
      <c r="T26" s="106"/>
      <c r="U26" s="106"/>
      <c r="V26" s="157"/>
      <c r="W26" s="169">
        <v>0</v>
      </c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>
        <v>26</v>
      </c>
      <c r="AK26" s="102"/>
      <c r="AN26" s="97" t="inlineStr">
        <is>
          <t>Seguros</t>
        </is>
      </c>
    </row>
    <row r="27" spans="1:40" s="129" customFormat="1" ht="30" customHeight="1">
      <c r="A27" s="102" t="s">
        <v>0</v>
      </c>
      <c r="B27" s="103" t="s">
        <v>201</v>
      </c>
      <c r="C27" s="104" t="s">
        <v>208</v>
      </c>
      <c r="D27" s="136">
        <v>0</v>
      </c>
      <c r="E27" s="102" t="s">
        <v>181</v>
      </c>
      <c r="F27" s="102"/>
      <c r="G27" s="102"/>
      <c r="H27" s="103" t="s">
        <v>135</v>
      </c>
      <c r="I27" s="105"/>
      <c r="J27" s="102"/>
      <c r="K27" s="105"/>
      <c r="L27" s="102"/>
      <c r="M27" s="105"/>
      <c r="N27" s="102"/>
      <c r="O27" s="102" t="s">
        <v>182</v>
      </c>
      <c r="P27" s="102" t="str">
        <f t="shared" si="0"/>
        <v>N1|Por Mejorar</v>
      </c>
      <c r="Q27" s="102" t="s">
        <v>171</v>
      </c>
      <c r="R27" s="102" t="str">
        <f>TRIM(tbl_BasePowerBI[[#This Row],[NOMBRE EJECUTIVO]])</f>
        <v>Carolina Diaz</v>
      </c>
      <c r="S27" s="102"/>
      <c r="T27" s="106"/>
      <c r="U27" s="106"/>
      <c r="V27" s="157"/>
      <c r="W27" s="169">
        <v>0</v>
      </c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>
        <v>27</v>
      </c>
      <c r="AK27" s="102"/>
      <c r="AN27" s="97" t="inlineStr">
        <is>
          <t>Consumo Masivo</t>
        </is>
      </c>
    </row>
    <row r="28" spans="1:40" s="129" customFormat="1" ht="30" customHeight="1">
      <c r="A28" s="102" t="s">
        <v>0</v>
      </c>
      <c r="B28" s="103" t="s">
        <v>201</v>
      </c>
      <c r="C28" s="104" t="s">
        <v>209</v>
      </c>
      <c r="D28" s="136">
        <v>0</v>
      </c>
      <c r="E28" s="102" t="s">
        <v>181</v>
      </c>
      <c r="F28" s="102"/>
      <c r="G28" s="102"/>
      <c r="H28" s="103" t="s">
        <v>135</v>
      </c>
      <c r="I28" s="105"/>
      <c r="J28" s="102"/>
      <c r="K28" s="105"/>
      <c r="L28" s="102"/>
      <c r="M28" s="105"/>
      <c r="N28" s="102"/>
      <c r="O28" s="102" t="s">
        <v>182</v>
      </c>
      <c r="P28" s="102" t="str">
        <f t="shared" si="0"/>
        <v>N1|Por Mejorar</v>
      </c>
      <c r="Q28" s="102" t="s">
        <v>171</v>
      </c>
      <c r="R28" s="102" t="str">
        <f>TRIM(tbl_BasePowerBI[[#This Row],[NOMBRE EJECUTIVO]])</f>
        <v>Carolina Diaz</v>
      </c>
      <c r="S28" s="102"/>
      <c r="T28" s="106"/>
      <c r="U28" s="106"/>
      <c r="V28" s="157"/>
      <c r="W28" s="169">
        <v>0</v>
      </c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>
        <v>28</v>
      </c>
      <c r="AK28" s="102"/>
      <c r="AN28" s="97" t="inlineStr">
        <is>
          <t>Consumo Masivo</t>
        </is>
      </c>
    </row>
    <row r="29" spans="1:40" s="129" customFormat="1" ht="30" customHeight="1">
      <c r="A29" s="102" t="s">
        <v>0</v>
      </c>
      <c r="B29" s="103" t="s">
        <v>179</v>
      </c>
      <c r="C29" s="104" t="s">
        <v>210</v>
      </c>
      <c r="D29" s="136">
        <v>0</v>
      </c>
      <c r="E29" s="102" t="s">
        <v>181</v>
      </c>
      <c r="F29" s="102"/>
      <c r="G29" s="102"/>
      <c r="H29" s="103" t="s">
        <v>135</v>
      </c>
      <c r="I29" s="105"/>
      <c r="J29" s="102"/>
      <c r="K29" s="105"/>
      <c r="L29" s="102"/>
      <c r="M29" s="105"/>
      <c r="N29" s="102"/>
      <c r="O29" s="102" t="s">
        <v>182</v>
      </c>
      <c r="P29" s="102" t="str">
        <f t="shared" si="0"/>
        <v>N1|Por Mejorar</v>
      </c>
      <c r="Q29" s="102" t="s">
        <v>171</v>
      </c>
      <c r="R29" s="102" t="str">
        <f>TRIM(tbl_BasePowerBI[[#This Row],[NOMBRE EJECUTIVO]])</f>
        <v>Diana Contreras Rodriguez</v>
      </c>
      <c r="S29" s="102"/>
      <c r="T29" s="106"/>
      <c r="U29" s="106"/>
      <c r="V29" s="157"/>
      <c r="W29" s="169">
        <v>0</v>
      </c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>
        <v>29</v>
      </c>
      <c r="AK29" s="102"/>
      <c r="AN29" s="97" t="inlineStr">
        <is>
          <t>Consumo Masivo</t>
        </is>
      </c>
    </row>
    <row r="30" spans="1:40" s="129" customFormat="1" ht="30" customHeight="1">
      <c r="A30" s="102" t="s">
        <v>0</v>
      </c>
      <c r="B30" s="103" t="s">
        <v>201</v>
      </c>
      <c r="C30" s="104" t="s">
        <v>211</v>
      </c>
      <c r="D30" s="136">
        <v>0</v>
      </c>
      <c r="E30" s="102" t="s">
        <v>181</v>
      </c>
      <c r="F30" s="102"/>
      <c r="G30" s="102"/>
      <c r="H30" s="103" t="s">
        <v>135</v>
      </c>
      <c r="I30" s="105"/>
      <c r="J30" s="102"/>
      <c r="K30" s="105"/>
      <c r="L30" s="102"/>
      <c r="M30" s="105"/>
      <c r="N30" s="102"/>
      <c r="O30" s="102" t="s">
        <v>182</v>
      </c>
      <c r="P30" s="102" t="str">
        <f t="shared" si="0"/>
        <v>N1|Por Mejorar</v>
      </c>
      <c r="Q30" s="102" t="s">
        <v>171</v>
      </c>
      <c r="R30" s="102" t="str">
        <f>TRIM(tbl_BasePowerBI[[#This Row],[NOMBRE EJECUTIVO]])</f>
        <v>Carolina Diaz</v>
      </c>
      <c r="S30" s="102"/>
      <c r="T30" s="106"/>
      <c r="U30" s="106"/>
      <c r="V30" s="157"/>
      <c r="W30" s="169">
        <v>0</v>
      </c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>
        <v>30</v>
      </c>
      <c r="AK30" s="102"/>
      <c r="AN30" s="97" t="inlineStr">
        <is>
          <t>Consumo Masivo</t>
        </is>
      </c>
    </row>
    <row r="31" spans="1:40" s="129" customFormat="1" ht="30" customHeight="1">
      <c r="A31" s="98" t="s">
        <v>0</v>
      </c>
      <c r="B31" s="101" t="s">
        <v>174</v>
      </c>
      <c r="C31" s="107" t="s">
        <v>212</v>
      </c>
      <c r="D31" s="149">
        <v>28500000</v>
      </c>
      <c r="E31" s="98" t="s">
        <v>181</v>
      </c>
      <c r="F31" s="98"/>
      <c r="G31" s="98"/>
      <c r="H31" s="108" t="s">
        <v>195</v>
      </c>
      <c r="I31" s="105">
        <v>100</v>
      </c>
      <c r="J31" s="108" t="s">
        <v>213</v>
      </c>
      <c r="K31" s="99">
        <v>50</v>
      </c>
      <c r="L31" s="98"/>
      <c r="M31" s="99">
        <v>50</v>
      </c>
      <c r="N31" s="98"/>
      <c r="O31" s="109" t="s">
        <v>138</v>
      </c>
      <c r="P31" s="98" t="str">
        <f t="shared" si="0"/>
        <v>N1|En seguimiento</v>
      </c>
      <c r="Q31" s="98" t="s">
        <v>171</v>
      </c>
      <c r="R31" s="98" t="str">
        <f>TRIM(tbl_BasePowerBI[[#This Row],[NOMBRE EJECUTIVO]])</f>
        <v>Andrea Morales</v>
      </c>
      <c r="S31" s="109" t="s">
        <v>172</v>
      </c>
      <c r="T31" s="106">
        <v>46211</v>
      </c>
      <c r="U31" s="106">
        <v>46211</v>
      </c>
      <c r="V31" s="226" t="s">
        <v>214</v>
      </c>
      <c r="W31" s="175">
        <v>28500000</v>
      </c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>
        <v>31</v>
      </c>
      <c r="AK31" s="102" t="s">
        <v>198</v>
      </c>
      <c r="AN31" s="97" t="inlineStr">
        <is>
          <t>Consumo Masivo</t>
        </is>
      </c>
    </row>
    <row r="32" spans="1:40" s="130" customFormat="1" ht="30" customHeight="1">
      <c r="A32" s="109" t="s">
        <v>0</v>
      </c>
      <c r="B32" s="109" t="s">
        <v>215</v>
      </c>
      <c r="C32" s="109" t="s">
        <v>216</v>
      </c>
      <c r="D32" s="137">
        <v>34000000</v>
      </c>
      <c r="E32" s="108" t="s">
        <v>217</v>
      </c>
      <c r="F32" s="109"/>
      <c r="G32" s="109"/>
      <c r="H32" s="108" t="s">
        <v>195</v>
      </c>
      <c r="I32" s="110">
        <v>100</v>
      </c>
      <c r="J32" s="108" t="s">
        <v>213</v>
      </c>
      <c r="K32" s="111">
        <v>50</v>
      </c>
      <c r="L32" s="109"/>
      <c r="M32" s="111">
        <v>50</v>
      </c>
      <c r="N32" s="109"/>
      <c r="O32" s="109" t="s">
        <v>138</v>
      </c>
      <c r="P32" s="109" t="str">
        <f>A32&amp;"|"&amp;O32</f>
        <v>N1|En seguimiento</v>
      </c>
      <c r="Q32" s="109" t="s">
        <v>139</v>
      </c>
      <c r="R32" s="109" t="str">
        <f>TRIM(tbl_BasePowerBI[[#This Row],[NOMBRE EJECUTIVO]])</f>
        <v>Andrea Morales</v>
      </c>
      <c r="S32" s="109" t="s">
        <v>205</v>
      </c>
      <c r="T32" s="112">
        <v>46238</v>
      </c>
      <c r="U32" s="112">
        <v>46239</v>
      </c>
      <c r="V32" s="226" t="s">
        <v>218</v>
      </c>
      <c r="W32" s="170">
        <v>34000000</v>
      </c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>
        <v>32</v>
      </c>
      <c r="AK32" s="102" t="s">
        <v>198</v>
      </c>
      <c r="AN32" s="97" t="inlineStr">
        <is>
          <t>Consumo Masivo</t>
        </is>
      </c>
    </row>
    <row r="33" spans="1:40" s="129" customFormat="1" ht="30" customHeight="1">
      <c r="A33" s="102" t="s">
        <v>0</v>
      </c>
      <c r="B33" s="103" t="s">
        <v>174</v>
      </c>
      <c r="C33" s="104" t="s">
        <v>219</v>
      </c>
      <c r="D33" s="136">
        <v>0</v>
      </c>
      <c r="E33" s="102" t="s">
        <v>181</v>
      </c>
      <c r="F33" s="102"/>
      <c r="G33" s="102"/>
      <c r="H33" s="103" t="s">
        <v>135</v>
      </c>
      <c r="I33" s="105"/>
      <c r="J33" s="102"/>
      <c r="K33" s="105"/>
      <c r="L33" s="102"/>
      <c r="M33" s="105"/>
      <c r="N33" s="102"/>
      <c r="O33" s="102" t="s">
        <v>182</v>
      </c>
      <c r="P33" s="102" t="str">
        <f t="shared" si="0"/>
        <v>N1|Por Mejorar</v>
      </c>
      <c r="Q33" s="102" t="s">
        <v>171</v>
      </c>
      <c r="R33" s="102" t="str">
        <f>TRIM(tbl_BasePowerBI[[#This Row],[NOMBRE EJECUTIVO]])</f>
        <v>Andrea Morales</v>
      </c>
      <c r="S33" s="102"/>
      <c r="T33" s="106"/>
      <c r="U33" s="106"/>
      <c r="V33" s="157"/>
      <c r="W33" s="169">
        <v>0</v>
      </c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>
        <v>33</v>
      </c>
      <c r="AK33" s="102"/>
      <c r="AL33" s="126"/>
      <c r="AN33" s="97" t="inlineStr">
        <is>
          <t>Automotriz</t>
        </is>
      </c>
    </row>
    <row r="34" spans="1:40" s="129" customFormat="1" ht="30" customHeight="1">
      <c r="A34" s="102" t="s">
        <v>0</v>
      </c>
      <c r="B34" s="103" t="s">
        <v>174</v>
      </c>
      <c r="C34" s="104" t="s">
        <v>220</v>
      </c>
      <c r="D34" s="136">
        <v>0</v>
      </c>
      <c r="E34" s="102" t="s">
        <v>181</v>
      </c>
      <c r="F34" s="102"/>
      <c r="G34" s="102"/>
      <c r="H34" s="103" t="s">
        <v>135</v>
      </c>
      <c r="I34" s="105"/>
      <c r="J34" s="102"/>
      <c r="K34" s="105"/>
      <c r="L34" s="102"/>
      <c r="M34" s="105"/>
      <c r="N34" s="102"/>
      <c r="O34" s="102" t="s">
        <v>182</v>
      </c>
      <c r="P34" s="102" t="str">
        <f t="shared" si="0"/>
        <v>N1|Por Mejorar</v>
      </c>
      <c r="Q34" s="102" t="s">
        <v>171</v>
      </c>
      <c r="R34" s="102" t="str">
        <f>TRIM(tbl_BasePowerBI[[#This Row],[NOMBRE EJECUTIVO]])</f>
        <v>Andrea Morales</v>
      </c>
      <c r="S34" s="102"/>
      <c r="T34" s="106"/>
      <c r="U34" s="106"/>
      <c r="V34" s="157"/>
      <c r="W34" s="169">
        <v>0</v>
      </c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>
        <v>34</v>
      </c>
      <c r="AK34" s="102"/>
      <c r="AN34" s="97" t="inlineStr">
        <is>
          <t>Banca</t>
        </is>
      </c>
    </row>
    <row r="35" spans="1:40" s="129" customFormat="1" ht="30" customHeight="1">
      <c r="A35" s="102" t="s">
        <v>0</v>
      </c>
      <c r="B35" s="103" t="s">
        <v>221</v>
      </c>
      <c r="C35" s="104" t="s">
        <v>222</v>
      </c>
      <c r="D35" s="136">
        <v>0</v>
      </c>
      <c r="E35" s="102" t="s">
        <v>181</v>
      </c>
      <c r="F35" s="102"/>
      <c r="G35" s="102"/>
      <c r="H35" s="103" t="s">
        <v>135</v>
      </c>
      <c r="I35" s="105"/>
      <c r="J35" s="102"/>
      <c r="K35" s="105"/>
      <c r="L35" s="102"/>
      <c r="M35" s="105"/>
      <c r="N35" s="102"/>
      <c r="O35" s="102" t="s">
        <v>182</v>
      </c>
      <c r="P35" s="102" t="str">
        <f t="shared" ref="P35:P66" si="2">A35&amp;"|"&amp;O35</f>
        <v>N1|Por Mejorar</v>
      </c>
      <c r="Q35" s="102" t="s">
        <v>171</v>
      </c>
      <c r="R35" s="102" t="str">
        <f>TRIM(tbl_BasePowerBI[[#This Row],[NOMBRE EJECUTIVO]])</f>
        <v>Natalia Zambrano</v>
      </c>
      <c r="S35" s="102"/>
      <c r="T35" s="106"/>
      <c r="U35" s="106"/>
      <c r="V35" s="157"/>
      <c r="W35" s="169">
        <v>0</v>
      </c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>
        <v>35</v>
      </c>
      <c r="AK35" s="102"/>
      <c r="AL35" s="126"/>
      <c r="AN35" s="97" t="inlineStr">
        <is>
          <t>Consumo Masivo</t>
        </is>
      </c>
    </row>
    <row r="36" spans="1:40" s="129" customFormat="1" ht="30" customHeight="1">
      <c r="A36" s="102" t="s">
        <v>0</v>
      </c>
      <c r="B36" s="103" t="s">
        <v>221</v>
      </c>
      <c r="C36" s="104" t="s">
        <v>223</v>
      </c>
      <c r="D36" s="136">
        <v>0</v>
      </c>
      <c r="E36" s="102" t="s">
        <v>181</v>
      </c>
      <c r="F36" s="102"/>
      <c r="G36" s="102"/>
      <c r="H36" s="103" t="s">
        <v>135</v>
      </c>
      <c r="I36" s="105"/>
      <c r="J36" s="102"/>
      <c r="K36" s="105"/>
      <c r="L36" s="102"/>
      <c r="M36" s="105"/>
      <c r="N36" s="102"/>
      <c r="O36" s="102" t="s">
        <v>182</v>
      </c>
      <c r="P36" s="102" t="str">
        <f t="shared" si="2"/>
        <v>N1|Por Mejorar</v>
      </c>
      <c r="Q36" s="102" t="s">
        <v>171</v>
      </c>
      <c r="R36" s="102" t="str">
        <f>TRIM(tbl_BasePowerBI[[#This Row],[NOMBRE EJECUTIVO]])</f>
        <v>Natalia Zambrano</v>
      </c>
      <c r="S36" s="102"/>
      <c r="T36" s="106"/>
      <c r="U36" s="106"/>
      <c r="V36" s="157"/>
      <c r="W36" s="169">
        <v>0</v>
      </c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>
        <v>36</v>
      </c>
      <c r="AK36" s="102"/>
      <c r="AL36" s="126"/>
      <c r="AN36" s="97" t="inlineStr">
        <is>
          <t>Tecnología</t>
        </is>
      </c>
    </row>
    <row r="37" spans="1:40" s="129" customFormat="1" ht="30" customHeight="1">
      <c r="A37" s="113" t="s">
        <v>0</v>
      </c>
      <c r="B37" s="113" t="s">
        <v>192</v>
      </c>
      <c r="C37" s="113" t="s">
        <v>224</v>
      </c>
      <c r="D37" s="138">
        <v>15000000</v>
      </c>
      <c r="E37" s="113" t="s">
        <v>225</v>
      </c>
      <c r="F37" s="113"/>
      <c r="G37" s="113"/>
      <c r="H37" s="113" t="s">
        <v>226</v>
      </c>
      <c r="I37" s="114">
        <v>100</v>
      </c>
      <c r="J37" s="113" t="s">
        <v>227</v>
      </c>
      <c r="K37" s="114">
        <v>100</v>
      </c>
      <c r="L37" s="113" t="s">
        <v>228</v>
      </c>
      <c r="M37" s="114">
        <v>100</v>
      </c>
      <c r="N37" s="113"/>
      <c r="O37" s="113" t="s">
        <v>229</v>
      </c>
      <c r="P37" s="113" t="str">
        <f t="shared" si="2"/>
        <v>N1|Cerrada</v>
      </c>
      <c r="Q37" s="113"/>
      <c r="R37" s="113" t="str">
        <f>TRIM(tbl_BasePowerBI[[#This Row],[NOMBRE EJECUTIVO]])</f>
        <v>Felipe Guillen</v>
      </c>
      <c r="S37" s="113" t="s">
        <v>140</v>
      </c>
      <c r="T37" s="115">
        <v>46198</v>
      </c>
      <c r="U37" s="115">
        <v>46198</v>
      </c>
      <c r="V37" s="158" t="s">
        <v>156</v>
      </c>
      <c r="W37" s="171">
        <v>32000000</v>
      </c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>
        <v>37</v>
      </c>
      <c r="AK37" s="102" t="s">
        <v>178</v>
      </c>
      <c r="AN37" s="97" t="inlineStr">
        <is>
          <t>Consumo Masivo</t>
        </is>
      </c>
    </row>
    <row r="38" spans="1:40" s="129" customFormat="1" ht="30" customHeight="1">
      <c r="A38" s="98" t="s">
        <v>0</v>
      </c>
      <c r="B38" s="98" t="s">
        <v>174</v>
      </c>
      <c r="C38" s="98" t="s">
        <v>230</v>
      </c>
      <c r="D38" s="135">
        <v>50000000</v>
      </c>
      <c r="E38" s="101" t="s">
        <v>231</v>
      </c>
      <c r="F38" s="98"/>
      <c r="G38" s="98"/>
      <c r="H38" s="101" t="s">
        <v>195</v>
      </c>
      <c r="I38" s="99">
        <v>100</v>
      </c>
      <c r="J38" s="98" t="s">
        <v>232</v>
      </c>
      <c r="K38" s="99">
        <v>100</v>
      </c>
      <c r="L38" s="98" t="s">
        <v>233</v>
      </c>
      <c r="M38" s="99">
        <v>50</v>
      </c>
      <c r="N38" s="98"/>
      <c r="O38" s="98" t="s">
        <v>138</v>
      </c>
      <c r="P38" s="98" t="str">
        <f t="shared" si="2"/>
        <v>N1|En seguimiento</v>
      </c>
      <c r="Q38" s="98" t="s">
        <v>171</v>
      </c>
      <c r="R38" s="98" t="str">
        <f>TRIM(tbl_BasePowerBI[[#This Row],[NOMBRE EJECUTIVO]])</f>
        <v>Andrea Morales</v>
      </c>
      <c r="S38" s="98" t="s">
        <v>172</v>
      </c>
      <c r="T38" s="100">
        <v>46205</v>
      </c>
      <c r="U38" s="106">
        <v>46205</v>
      </c>
      <c r="V38" s="154" t="s">
        <v>234</v>
      </c>
      <c r="W38" s="169">
        <v>76000000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>
        <v>38</v>
      </c>
      <c r="AK38" s="102" t="s">
        <v>188</v>
      </c>
      <c r="AN38" s="97" t="inlineStr">
        <is>
          <t>Moda</t>
        </is>
      </c>
    </row>
    <row r="39" spans="1:40" s="129" customFormat="1" ht="30" customHeight="1">
      <c r="A39" s="98" t="s">
        <v>0</v>
      </c>
      <c r="B39" s="98" t="s">
        <v>201</v>
      </c>
      <c r="C39" s="98" t="s">
        <v>235</v>
      </c>
      <c r="D39" s="135">
        <v>35000000</v>
      </c>
      <c r="E39" s="101" t="s">
        <v>181</v>
      </c>
      <c r="F39" s="98"/>
      <c r="G39" s="98"/>
      <c r="H39" s="101" t="s">
        <v>195</v>
      </c>
      <c r="I39" s="99">
        <v>100</v>
      </c>
      <c r="J39" s="101" t="s">
        <v>213</v>
      </c>
      <c r="K39" s="99">
        <v>100</v>
      </c>
      <c r="L39" s="98"/>
      <c r="M39" s="99"/>
      <c r="N39" s="98"/>
      <c r="O39" s="98" t="s">
        <v>138</v>
      </c>
      <c r="P39" s="98" t="str">
        <f t="shared" si="2"/>
        <v>N1|En seguimiento</v>
      </c>
      <c r="Q39" s="98" t="s">
        <v>139</v>
      </c>
      <c r="R39" s="98" t="str">
        <f>TRIM(tbl_BasePowerBI[[#This Row],[NOMBRE EJECUTIVO]])</f>
        <v>Carolina Diaz</v>
      </c>
      <c r="S39" s="98" t="s">
        <v>172</v>
      </c>
      <c r="T39" s="100">
        <v>46212</v>
      </c>
      <c r="U39" s="100">
        <v>46212</v>
      </c>
      <c r="V39" s="154" t="s">
        <v>236</v>
      </c>
      <c r="W39" s="168">
        <v>39000000</v>
      </c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>
        <v>39</v>
      </c>
      <c r="AK39" s="102" t="s">
        <v>188</v>
      </c>
      <c r="AN39" s="97" t="inlineStr">
        <is>
          <t>Moda</t>
        </is>
      </c>
    </row>
    <row r="40" spans="1:40" s="129" customFormat="1" ht="30" customHeight="1">
      <c r="A40" s="98" t="s">
        <v>0</v>
      </c>
      <c r="B40" s="98" t="s">
        <v>201</v>
      </c>
      <c r="C40" s="98" t="s">
        <v>237</v>
      </c>
      <c r="D40" s="135">
        <v>40000000</v>
      </c>
      <c r="E40" s="101" t="s">
        <v>181</v>
      </c>
      <c r="F40" s="98"/>
      <c r="G40" s="98"/>
      <c r="H40" s="101" t="s">
        <v>195</v>
      </c>
      <c r="I40" s="99">
        <v>100</v>
      </c>
      <c r="J40" s="101" t="s">
        <v>213</v>
      </c>
      <c r="K40" s="99">
        <v>100</v>
      </c>
      <c r="L40" s="98" t="s">
        <v>238</v>
      </c>
      <c r="M40" s="99">
        <v>100</v>
      </c>
      <c r="N40" s="98"/>
      <c r="O40" s="98" t="s">
        <v>239</v>
      </c>
      <c r="P40" s="98" t="str">
        <f t="shared" si="2"/>
        <v>N1|no aprobada</v>
      </c>
      <c r="Q40" s="98" t="s">
        <v>139</v>
      </c>
      <c r="R40" s="98" t="str">
        <f>TRIM(tbl_BasePowerBI[[#This Row],[NOMBRE EJECUTIVO]])</f>
        <v>Carolina Diaz</v>
      </c>
      <c r="S40" s="98" t="s">
        <v>172</v>
      </c>
      <c r="T40" s="100">
        <v>46212</v>
      </c>
      <c r="U40" s="100">
        <v>46212</v>
      </c>
      <c r="V40" s="154" t="s">
        <v>240</v>
      </c>
      <c r="W40" s="168">
        <v>39420000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>
        <v>40</v>
      </c>
      <c r="AK40" s="102" t="s">
        <v>188</v>
      </c>
      <c r="AN40" s="97" t="inlineStr">
        <is>
          <t>Tecnología</t>
        </is>
      </c>
    </row>
    <row r="41" spans="1:40" s="129" customFormat="1" ht="30" customHeight="1">
      <c r="A41" s="98" t="s">
        <v>0</v>
      </c>
      <c r="B41" s="98" t="s">
        <v>201</v>
      </c>
      <c r="C41" s="98" t="s">
        <v>241</v>
      </c>
      <c r="D41" s="135">
        <v>35000000</v>
      </c>
      <c r="E41" s="101" t="s">
        <v>181</v>
      </c>
      <c r="F41" s="98"/>
      <c r="G41" s="98"/>
      <c r="H41" s="101" t="s">
        <v>195</v>
      </c>
      <c r="I41" s="99">
        <v>100</v>
      </c>
      <c r="J41" s="101" t="s">
        <v>213</v>
      </c>
      <c r="K41" s="99">
        <v>100</v>
      </c>
      <c r="L41" s="98"/>
      <c r="M41" s="99"/>
      <c r="N41" s="98"/>
      <c r="O41" s="98" t="s">
        <v>138</v>
      </c>
      <c r="P41" s="98" t="str">
        <f t="shared" si="2"/>
        <v>N1|En seguimiento</v>
      </c>
      <c r="Q41" s="98" t="s">
        <v>139</v>
      </c>
      <c r="R41" s="98" t="str">
        <f>TRIM(tbl_BasePowerBI[[#This Row],[NOMBRE EJECUTIVO]])</f>
        <v>Carolina Diaz</v>
      </c>
      <c r="S41" s="98" t="s">
        <v>172</v>
      </c>
      <c r="T41" s="100">
        <v>46213</v>
      </c>
      <c r="U41" s="100">
        <v>46213</v>
      </c>
      <c r="V41" s="154" t="s">
        <v>242</v>
      </c>
      <c r="W41" s="168">
        <v>39000000</v>
      </c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>
        <v>41</v>
      </c>
      <c r="AK41" s="102" t="s">
        <v>188</v>
      </c>
      <c r="AN41" s="97" t="inlineStr">
        <is>
          <t>Moda</t>
        </is>
      </c>
    </row>
    <row r="42" spans="1:40" s="129" customFormat="1" ht="30" customHeight="1">
      <c r="A42" s="98" t="s">
        <v>0</v>
      </c>
      <c r="B42" s="98" t="s">
        <v>221</v>
      </c>
      <c r="C42" s="98" t="s">
        <v>243</v>
      </c>
      <c r="D42" s="135">
        <v>30000000</v>
      </c>
      <c r="E42" s="101" t="s">
        <v>244</v>
      </c>
      <c r="F42" s="98"/>
      <c r="G42" s="98"/>
      <c r="H42" s="101" t="s">
        <v>195</v>
      </c>
      <c r="I42" s="99">
        <v>100</v>
      </c>
      <c r="J42" s="101" t="s">
        <v>213</v>
      </c>
      <c r="K42" s="99">
        <v>100</v>
      </c>
      <c r="L42" s="98"/>
      <c r="M42" s="99">
        <v>50</v>
      </c>
      <c r="N42" s="98"/>
      <c r="O42" s="98" t="s">
        <v>138</v>
      </c>
      <c r="P42" s="98" t="str">
        <f t="shared" si="2"/>
        <v>N1|En seguimiento</v>
      </c>
      <c r="Q42" s="98" t="s">
        <v>139</v>
      </c>
      <c r="R42" s="98" t="str">
        <f>TRIM(tbl_BasePowerBI[[#This Row],[NOMBRE EJECUTIVO]])</f>
        <v>Natalia Zambrano</v>
      </c>
      <c r="S42" s="98" t="s">
        <v>172</v>
      </c>
      <c r="T42" s="100">
        <v>46213</v>
      </c>
      <c r="U42" s="106">
        <v>46213</v>
      </c>
      <c r="V42" s="154" t="s">
        <v>245</v>
      </c>
      <c r="W42" s="169">
        <v>32600000</v>
      </c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>
        <v>42</v>
      </c>
      <c r="AK42" s="102" t="s">
        <v>188</v>
      </c>
      <c r="AN42" s="97" t="inlineStr">
        <is>
          <t>Tecnología</t>
        </is>
      </c>
    </row>
    <row r="43" spans="1:40" s="129" customFormat="1" ht="30" customHeight="1">
      <c r="A43" s="98" t="s">
        <v>1</v>
      </c>
      <c r="B43" s="101" t="s">
        <v>246</v>
      </c>
      <c r="C43" s="98" t="s">
        <v>247</v>
      </c>
      <c r="D43" s="136" t="s">
        <v>248</v>
      </c>
      <c r="E43" s="98" t="s">
        <v>249</v>
      </c>
      <c r="F43" s="98"/>
      <c r="G43" s="98"/>
      <c r="H43" s="101" t="s">
        <v>250</v>
      </c>
      <c r="I43" s="99">
        <v>100</v>
      </c>
      <c r="J43" s="98" t="s">
        <v>195</v>
      </c>
      <c r="K43" s="99">
        <v>100</v>
      </c>
      <c r="L43" s="98" t="s">
        <v>213</v>
      </c>
      <c r="M43" s="99">
        <v>50</v>
      </c>
      <c r="N43" s="98" t="s">
        <v>138</v>
      </c>
      <c r="O43" s="98" t="s">
        <v>138</v>
      </c>
      <c r="P43" s="98" t="str">
        <f t="shared" si="2"/>
        <v>N2|En seguimiento</v>
      </c>
      <c r="Q43" s="98" t="s">
        <v>139</v>
      </c>
      <c r="R43" s="98" t="str">
        <f>TRIM(tbl_BasePowerBI[[#This Row],[NOMBRE EJECUTIVO]])</f>
        <v>Camilo Prada</v>
      </c>
      <c r="S43" s="98" t="s">
        <v>140</v>
      </c>
      <c r="T43" s="100">
        <v>46177</v>
      </c>
      <c r="U43" s="106">
        <v>46196</v>
      </c>
      <c r="V43" s="154" t="s">
        <v>251</v>
      </c>
      <c r="W43" s="169">
        <v>30000000</v>
      </c>
      <c r="X43" s="86"/>
      <c r="Y43" s="86"/>
      <c r="Z43" s="86" t="s">
        <v>252</v>
      </c>
      <c r="AA43" s="88" t="s">
        <v>253</v>
      </c>
      <c r="AB43" s="89" t="s">
        <v>0</v>
      </c>
      <c r="AC43" s="89" t="s">
        <v>0</v>
      </c>
      <c r="AD43" s="89" t="s">
        <v>182</v>
      </c>
      <c r="AE43" s="90" t="e" vm="1">
        <v>#VALUE!</v>
      </c>
      <c r="AF43" s="89" t="s">
        <v>254</v>
      </c>
      <c r="AG43" s="89" t="str">
        <f t="shared" ref="AG43:AG52" si="3">AC43&amp;"|"&amp;AD43</f>
        <v>N1|Por Mejorar</v>
      </c>
      <c r="AH43" s="86"/>
      <c r="AI43" s="86"/>
      <c r="AJ43" s="86">
        <v>43</v>
      </c>
      <c r="AK43" s="102" t="s">
        <v>178</v>
      </c>
      <c r="AN43" s="97" t="inlineStr">
        <is>
          <t>Banca</t>
        </is>
      </c>
    </row>
    <row r="44" spans="1:40" s="129" customFormat="1" ht="51" customHeight="1">
      <c r="A44" s="98" t="s">
        <v>1</v>
      </c>
      <c r="B44" s="101" t="s">
        <v>246</v>
      </c>
      <c r="C44" s="98" t="s">
        <v>255</v>
      </c>
      <c r="D44" s="135">
        <v>42050587</v>
      </c>
      <c r="E44" s="98" t="s">
        <v>256</v>
      </c>
      <c r="F44" s="98"/>
      <c r="G44" s="98"/>
      <c r="H44" s="101" t="s">
        <v>257</v>
      </c>
      <c r="I44" s="99">
        <v>100</v>
      </c>
      <c r="J44" s="98" t="s">
        <v>195</v>
      </c>
      <c r="K44" s="99">
        <v>100</v>
      </c>
      <c r="L44" s="98" t="s">
        <v>258</v>
      </c>
      <c r="M44" s="99">
        <v>100</v>
      </c>
      <c r="N44" s="98"/>
      <c r="O44" s="98" t="s">
        <v>138</v>
      </c>
      <c r="P44" s="98" t="str">
        <f t="shared" si="2"/>
        <v>N2|En seguimiento</v>
      </c>
      <c r="Q44" s="98" t="s">
        <v>139</v>
      </c>
      <c r="R44" s="98" t="str">
        <f>TRIM(tbl_BasePowerBI[[#This Row],[NOMBRE EJECUTIVO]])</f>
        <v>Camilo Prada</v>
      </c>
      <c r="S44" s="98" t="s">
        <v>140</v>
      </c>
      <c r="T44" s="100">
        <v>46196</v>
      </c>
      <c r="U44" s="100">
        <v>46206</v>
      </c>
      <c r="V44" s="154" t="s">
        <v>259</v>
      </c>
      <c r="W44" s="168">
        <v>30000000</v>
      </c>
      <c r="X44" s="86"/>
      <c r="Y44" s="86"/>
      <c r="Z44" s="86" t="s">
        <v>260</v>
      </c>
      <c r="AA44" s="88" t="s">
        <v>261</v>
      </c>
      <c r="AB44" s="89" t="s">
        <v>1</v>
      </c>
      <c r="AC44" s="89" t="s">
        <v>0</v>
      </c>
      <c r="AD44" s="89" t="s">
        <v>138</v>
      </c>
      <c r="AE44" s="90" t="e" vm="2">
        <v>#VALUE!</v>
      </c>
      <c r="AF44" s="89" t="s">
        <v>139</v>
      </c>
      <c r="AG44" s="89" t="str">
        <f t="shared" si="3"/>
        <v>N1|En seguimiento</v>
      </c>
      <c r="AH44" s="86"/>
      <c r="AI44" s="86"/>
      <c r="AJ44" s="86">
        <v>44</v>
      </c>
      <c r="AK44" s="102" t="s">
        <v>188</v>
      </c>
      <c r="AN44" s="97" t="inlineStr">
        <is>
          <t>Consumo Masivo</t>
        </is>
      </c>
    </row>
    <row r="45" spans="1:40" s="129" customFormat="1" ht="30" customHeight="1">
      <c r="A45" s="102" t="s">
        <v>1</v>
      </c>
      <c r="B45" s="103" t="s">
        <v>246</v>
      </c>
      <c r="C45" s="102" t="s">
        <v>262</v>
      </c>
      <c r="D45" s="136">
        <v>24015738</v>
      </c>
      <c r="E45" s="102" t="s">
        <v>263</v>
      </c>
      <c r="F45" s="102"/>
      <c r="G45" s="102"/>
      <c r="H45" s="103" t="s">
        <v>135</v>
      </c>
      <c r="I45" s="105">
        <v>0</v>
      </c>
      <c r="J45" s="102"/>
      <c r="K45" s="105">
        <v>0</v>
      </c>
      <c r="L45" s="102"/>
      <c r="M45" s="105">
        <v>0</v>
      </c>
      <c r="N45" s="102"/>
      <c r="O45" s="102" t="s">
        <v>182</v>
      </c>
      <c r="P45" s="102" t="str">
        <f t="shared" si="2"/>
        <v>N2|Por Mejorar</v>
      </c>
      <c r="Q45" s="102" t="s">
        <v>171</v>
      </c>
      <c r="R45" s="102" t="str">
        <f>TRIM(tbl_BasePowerBI[[#This Row],[NOMBRE EJECUTIVO]])</f>
        <v>Camilo Prada</v>
      </c>
      <c r="S45" s="102"/>
      <c r="T45" s="106"/>
      <c r="U45" s="106"/>
      <c r="V45" s="157"/>
      <c r="W45" s="169">
        <v>0</v>
      </c>
      <c r="X45" s="86"/>
      <c r="Y45" s="86"/>
      <c r="Z45" s="86" t="s">
        <v>264</v>
      </c>
      <c r="AA45" s="88" t="s">
        <v>265</v>
      </c>
      <c r="AB45" s="89" t="s">
        <v>2</v>
      </c>
      <c r="AC45" s="89" t="s">
        <v>0</v>
      </c>
      <c r="AD45" s="89" t="s">
        <v>229</v>
      </c>
      <c r="AE45" s="90" t="e" vm="3">
        <v>#VALUE!</v>
      </c>
      <c r="AF45" s="89" t="s">
        <v>171</v>
      </c>
      <c r="AG45" s="89" t="str">
        <f t="shared" si="3"/>
        <v>N1|Cerrada</v>
      </c>
      <c r="AH45" s="86"/>
      <c r="AI45" s="86"/>
      <c r="AJ45" s="86">
        <v>45</v>
      </c>
      <c r="AK45" s="102" t="s">
        <v>178</v>
      </c>
      <c r="AN45" s="97" t="inlineStr">
        <is>
          <t>Tecnología</t>
        </is>
      </c>
    </row>
    <row r="46" spans="1:40" s="129" customFormat="1" ht="57.75" customHeight="1">
      <c r="A46" s="116" t="s">
        <v>1</v>
      </c>
      <c r="B46" s="103" t="s">
        <v>246</v>
      </c>
      <c r="C46" s="102" t="s">
        <v>266</v>
      </c>
      <c r="D46" s="136">
        <v>0</v>
      </c>
      <c r="E46" s="102" t="s">
        <v>267</v>
      </c>
      <c r="F46" s="102"/>
      <c r="G46" s="102"/>
      <c r="H46" s="103" t="s">
        <v>135</v>
      </c>
      <c r="I46" s="105">
        <v>0</v>
      </c>
      <c r="J46" s="102"/>
      <c r="K46" s="105">
        <v>0</v>
      </c>
      <c r="L46" s="102"/>
      <c r="M46" s="105">
        <v>0</v>
      </c>
      <c r="N46" s="102"/>
      <c r="O46" s="102" t="s">
        <v>182</v>
      </c>
      <c r="P46" s="102" t="str">
        <f t="shared" si="2"/>
        <v>N2|Por Mejorar</v>
      </c>
      <c r="Q46" s="102" t="s">
        <v>171</v>
      </c>
      <c r="R46" s="102" t="str">
        <f>TRIM(tbl_BasePowerBI[[#This Row],[NOMBRE EJECUTIVO]])</f>
        <v>Camilo Prada</v>
      </c>
      <c r="S46" s="102"/>
      <c r="T46" s="106"/>
      <c r="U46" s="106"/>
      <c r="V46" s="157"/>
      <c r="W46" s="169">
        <v>0</v>
      </c>
      <c r="X46" s="86"/>
      <c r="Y46" s="86"/>
      <c r="Z46" s="86" t="s">
        <v>268</v>
      </c>
      <c r="AA46" s="88" t="s">
        <v>269</v>
      </c>
      <c r="AB46" s="89" t="s">
        <v>4</v>
      </c>
      <c r="AC46" s="89" t="s">
        <v>1</v>
      </c>
      <c r="AD46" s="89" t="s">
        <v>138</v>
      </c>
      <c r="AE46" s="90" t="e" vm="4">
        <v>#VALUE!</v>
      </c>
      <c r="AF46" s="89"/>
      <c r="AG46" s="89" t="str">
        <f t="shared" si="3"/>
        <v>N2|En seguimiento</v>
      </c>
      <c r="AH46" s="86"/>
      <c r="AI46" s="86"/>
      <c r="AJ46" s="86">
        <v>46</v>
      </c>
      <c r="AK46" s="102" t="s">
        <v>188</v>
      </c>
      <c r="AN46" s="97" t="inlineStr">
        <is>
          <t>Servicios</t>
        </is>
      </c>
    </row>
    <row r="47" spans="1:40" s="129" customFormat="1" ht="30" customHeight="1">
      <c r="A47" s="102" t="s">
        <v>1</v>
      </c>
      <c r="B47" s="103" t="s">
        <v>246</v>
      </c>
      <c r="C47" s="102" t="s">
        <v>270</v>
      </c>
      <c r="D47" s="136">
        <v>0</v>
      </c>
      <c r="E47" s="102" t="s">
        <v>271</v>
      </c>
      <c r="F47" s="102"/>
      <c r="G47" s="102"/>
      <c r="H47" s="103" t="s">
        <v>135</v>
      </c>
      <c r="I47" s="105">
        <v>0</v>
      </c>
      <c r="J47" s="102"/>
      <c r="K47" s="105">
        <v>0</v>
      </c>
      <c r="L47" s="102"/>
      <c r="M47" s="105">
        <v>0</v>
      </c>
      <c r="N47" s="102"/>
      <c r="O47" s="102" t="s">
        <v>182</v>
      </c>
      <c r="P47" s="102" t="str">
        <f t="shared" si="2"/>
        <v>N2|Por Mejorar</v>
      </c>
      <c r="Q47" s="102" t="s">
        <v>171</v>
      </c>
      <c r="R47" s="102" t="str">
        <f>TRIM(tbl_BasePowerBI[[#This Row],[NOMBRE EJECUTIVO]])</f>
        <v>Camilo Prada</v>
      </c>
      <c r="S47" s="102"/>
      <c r="T47" s="106"/>
      <c r="U47" s="106"/>
      <c r="V47" s="156"/>
      <c r="W47" s="169">
        <v>0</v>
      </c>
      <c r="X47" s="86"/>
      <c r="Y47" s="86"/>
      <c r="Z47" s="86" t="s">
        <v>140</v>
      </c>
      <c r="AA47" s="89"/>
      <c r="AB47" s="89" t="s">
        <v>272</v>
      </c>
      <c r="AC47" s="89" t="s">
        <v>1</v>
      </c>
      <c r="AD47" s="89" t="s">
        <v>229</v>
      </c>
      <c r="AE47" s="90" t="e" vm="5">
        <v>#VALUE!</v>
      </c>
      <c r="AF47" s="89"/>
      <c r="AG47" s="89" t="str">
        <f t="shared" si="3"/>
        <v>N2|Cerrada</v>
      </c>
      <c r="AH47" s="86"/>
      <c r="AI47" s="86"/>
      <c r="AJ47" s="86">
        <v>47</v>
      </c>
      <c r="AK47" s="102" t="s">
        <v>188</v>
      </c>
      <c r="AN47" s="97" t="inlineStr">
        <is>
          <t>Salud</t>
        </is>
      </c>
    </row>
    <row r="48" spans="1:40" s="129" customFormat="1" ht="48.75" customHeight="1">
      <c r="A48" s="98" t="s">
        <v>1</v>
      </c>
      <c r="B48" s="101" t="s">
        <v>273</v>
      </c>
      <c r="C48" s="98" t="s">
        <v>274</v>
      </c>
      <c r="D48" s="135">
        <v>28067985</v>
      </c>
      <c r="E48" s="98" t="s">
        <v>275</v>
      </c>
      <c r="F48" s="98"/>
      <c r="G48" s="98"/>
      <c r="H48" s="101" t="s">
        <v>135</v>
      </c>
      <c r="I48" s="99">
        <v>100</v>
      </c>
      <c r="J48" s="98" t="s">
        <v>195</v>
      </c>
      <c r="K48" s="99">
        <v>100</v>
      </c>
      <c r="L48" s="101" t="s">
        <v>276</v>
      </c>
      <c r="M48" s="99">
        <v>100</v>
      </c>
      <c r="N48" s="98"/>
      <c r="O48" s="98" t="s">
        <v>138</v>
      </c>
      <c r="P48" s="98" t="str">
        <f t="shared" si="2"/>
        <v>N2|En seguimiento</v>
      </c>
      <c r="Q48" s="98" t="s">
        <v>139</v>
      </c>
      <c r="R48" s="98" t="str">
        <f>TRIM(tbl_BasePowerBI[[#This Row],[NOMBRE EJECUTIVO]])</f>
        <v>Luisa Escobar</v>
      </c>
      <c r="S48" s="98" t="s">
        <v>140</v>
      </c>
      <c r="T48" s="100">
        <v>46177</v>
      </c>
      <c r="U48" s="100">
        <v>46197</v>
      </c>
      <c r="V48" s="154" t="s">
        <v>277</v>
      </c>
      <c r="W48" s="168">
        <v>54244200</v>
      </c>
      <c r="X48" s="86"/>
      <c r="Y48" s="86"/>
      <c r="Z48" s="86" t="s">
        <v>172</v>
      </c>
      <c r="AA48" s="89"/>
      <c r="AB48" s="89" t="s">
        <v>146</v>
      </c>
      <c r="AC48" s="89" t="s">
        <v>2</v>
      </c>
      <c r="AD48" s="89" t="s">
        <v>182</v>
      </c>
      <c r="AE48" s="90" t="e" vm="6">
        <v>#VALUE!</v>
      </c>
      <c r="AF48" s="89"/>
      <c r="AG48" s="89" t="str">
        <f t="shared" si="3"/>
        <v>N3|Por Mejorar</v>
      </c>
      <c r="AH48" s="86"/>
      <c r="AI48" s="86"/>
      <c r="AJ48" s="86">
        <v>48</v>
      </c>
      <c r="AK48" s="102" t="s">
        <v>188</v>
      </c>
      <c r="AN48" s="97" t="inlineStr">
        <is>
          <t>Automotriz</t>
        </is>
      </c>
    </row>
    <row r="49" spans="1:40" s="129" customFormat="1" ht="51" customHeight="1">
      <c r="A49" s="98" t="s">
        <v>1</v>
      </c>
      <c r="B49" s="101" t="s">
        <v>273</v>
      </c>
      <c r="C49" s="98" t="s">
        <v>278</v>
      </c>
      <c r="D49" s="135">
        <v>13706000</v>
      </c>
      <c r="E49" s="98" t="s">
        <v>279</v>
      </c>
      <c r="F49" s="98"/>
      <c r="G49" s="98"/>
      <c r="H49" s="101" t="s">
        <v>280</v>
      </c>
      <c r="I49" s="99">
        <v>100</v>
      </c>
      <c r="J49" s="101" t="s">
        <v>195</v>
      </c>
      <c r="K49" s="99">
        <v>100</v>
      </c>
      <c r="L49" s="101" t="s">
        <v>213</v>
      </c>
      <c r="M49" s="99">
        <v>50</v>
      </c>
      <c r="N49" s="98"/>
      <c r="O49" s="98" t="s">
        <v>138</v>
      </c>
      <c r="P49" s="98" t="str">
        <f t="shared" si="2"/>
        <v>N2|En seguimiento</v>
      </c>
      <c r="Q49" s="98" t="s">
        <v>139</v>
      </c>
      <c r="R49" s="98" t="str">
        <f>TRIM(tbl_BasePowerBI[[#This Row],[NOMBRE EJECUTIVO]])</f>
        <v>Luisa Escobar</v>
      </c>
      <c r="S49" s="98" t="s">
        <v>140</v>
      </c>
      <c r="T49" s="100">
        <v>46177</v>
      </c>
      <c r="U49" s="106">
        <v>46198</v>
      </c>
      <c r="V49" s="156" t="s">
        <v>281</v>
      </c>
      <c r="W49" s="169">
        <v>30200000</v>
      </c>
      <c r="X49" s="86"/>
      <c r="Y49" s="86"/>
      <c r="Z49" s="86" t="s">
        <v>205</v>
      </c>
      <c r="AA49" s="89"/>
      <c r="AB49" s="89"/>
      <c r="AC49" s="89" t="s">
        <v>2</v>
      </c>
      <c r="AD49" s="89" t="s">
        <v>138</v>
      </c>
      <c r="AE49" s="90" t="e" vm="7">
        <v>#VALUE!</v>
      </c>
      <c r="AF49" s="89"/>
      <c r="AG49" s="89" t="str">
        <f t="shared" si="3"/>
        <v>N3|En seguimiento</v>
      </c>
      <c r="AH49" s="86"/>
      <c r="AI49" s="86"/>
      <c r="AJ49" s="86">
        <v>49</v>
      </c>
      <c r="AK49" s="102" t="s">
        <v>188</v>
      </c>
      <c r="AN49" s="97" t="inlineStr">
        <is>
          <t>Salud</t>
        </is>
      </c>
    </row>
    <row r="50" spans="1:40" s="129" customFormat="1" ht="30" customHeight="1">
      <c r="A50" s="102" t="s">
        <v>1</v>
      </c>
      <c r="B50" s="103" t="s">
        <v>273</v>
      </c>
      <c r="C50" s="102" t="s">
        <v>282</v>
      </c>
      <c r="D50" s="136">
        <v>0</v>
      </c>
      <c r="E50" s="102" t="s">
        <v>283</v>
      </c>
      <c r="F50" s="102"/>
      <c r="G50" s="102"/>
      <c r="H50" s="103" t="s">
        <v>135</v>
      </c>
      <c r="I50" s="105">
        <v>0</v>
      </c>
      <c r="J50" s="102"/>
      <c r="K50" s="105">
        <v>0</v>
      </c>
      <c r="L50" s="102"/>
      <c r="M50" s="105">
        <v>0</v>
      </c>
      <c r="N50" s="102"/>
      <c r="O50" s="102" t="s">
        <v>182</v>
      </c>
      <c r="P50" s="102" t="str">
        <f t="shared" si="2"/>
        <v>N2|Por Mejorar</v>
      </c>
      <c r="Q50" s="102" t="s">
        <v>171</v>
      </c>
      <c r="R50" s="102" t="str">
        <f>TRIM(tbl_BasePowerBI[[#This Row],[NOMBRE EJECUTIVO]])</f>
        <v>Luisa Escobar</v>
      </c>
      <c r="S50" s="102"/>
      <c r="T50" s="106"/>
      <c r="U50" s="106"/>
      <c r="V50" s="157"/>
      <c r="W50" s="169">
        <v>0</v>
      </c>
      <c r="X50" s="86"/>
      <c r="Y50" s="86"/>
      <c r="Z50" s="86" t="s">
        <v>196</v>
      </c>
      <c r="AA50" s="89"/>
      <c r="AB50" s="89"/>
      <c r="AC50" s="89" t="s">
        <v>2</v>
      </c>
      <c r="AD50" s="89" t="s">
        <v>229</v>
      </c>
      <c r="AE50" s="90" t="e" vm="8">
        <v>#VALUE!</v>
      </c>
      <c r="AF50" s="89"/>
      <c r="AG50" s="89" t="str">
        <f t="shared" si="3"/>
        <v>N3|Cerrada</v>
      </c>
      <c r="AH50" s="86"/>
      <c r="AI50" s="86"/>
      <c r="AJ50" s="86">
        <v>50</v>
      </c>
      <c r="AK50" s="102"/>
      <c r="AN50" s="97" t="inlineStr">
        <is>
          <t>Inmobiliario</t>
        </is>
      </c>
    </row>
    <row r="51" spans="1:40" s="129" customFormat="1" ht="30" customHeight="1">
      <c r="A51" s="102" t="s">
        <v>1</v>
      </c>
      <c r="B51" s="103" t="s">
        <v>284</v>
      </c>
      <c r="C51" s="102" t="s">
        <v>285</v>
      </c>
      <c r="D51" s="136">
        <v>17507282</v>
      </c>
      <c r="E51" s="102" t="s">
        <v>286</v>
      </c>
      <c r="F51" s="102"/>
      <c r="G51" s="102"/>
      <c r="H51" s="103" t="s">
        <v>135</v>
      </c>
      <c r="I51" s="105">
        <v>0</v>
      </c>
      <c r="J51" s="102"/>
      <c r="K51" s="105">
        <v>0</v>
      </c>
      <c r="L51" s="102"/>
      <c r="M51" s="105">
        <v>0</v>
      </c>
      <c r="N51" s="102"/>
      <c r="O51" s="102" t="s">
        <v>182</v>
      </c>
      <c r="P51" s="102" t="str">
        <f t="shared" si="2"/>
        <v>N2|Por Mejorar</v>
      </c>
      <c r="Q51" s="102" t="s">
        <v>171</v>
      </c>
      <c r="R51" s="102" t="str">
        <f>TRIM(tbl_BasePowerBI[[#This Row],[NOMBRE EJECUTIVO]])</f>
        <v>Lina Lemus</v>
      </c>
      <c r="S51" s="102"/>
      <c r="T51" s="106"/>
      <c r="U51" s="106"/>
      <c r="V51" s="157"/>
      <c r="W51" s="169">
        <v>0</v>
      </c>
      <c r="X51" s="86"/>
      <c r="Y51" s="86"/>
      <c r="Z51" s="86" t="s">
        <v>287</v>
      </c>
      <c r="AA51" s="89"/>
      <c r="AB51" s="89"/>
      <c r="AC51" s="89" t="s">
        <v>3</v>
      </c>
      <c r="AD51" s="89" t="s">
        <v>182</v>
      </c>
      <c r="AE51" s="90" t="e" vm="9">
        <v>#VALUE!</v>
      </c>
      <c r="AF51" s="89"/>
      <c r="AG51" s="89" t="str">
        <f t="shared" si="3"/>
        <v>N4|Por Mejorar</v>
      </c>
      <c r="AH51" s="86"/>
      <c r="AI51" s="86"/>
      <c r="AJ51" s="86">
        <v>51</v>
      </c>
      <c r="AK51" s="102"/>
      <c r="AN51" s="97" t="inlineStr">
        <is>
          <t>Servicios</t>
        </is>
      </c>
    </row>
    <row r="52" spans="1:40" s="129" customFormat="1" ht="30" customHeight="1">
      <c r="A52" s="102" t="s">
        <v>1</v>
      </c>
      <c r="B52" s="103" t="s">
        <v>284</v>
      </c>
      <c r="C52" s="102" t="s">
        <v>288</v>
      </c>
      <c r="D52" s="136">
        <v>86896644</v>
      </c>
      <c r="E52" s="102" t="s">
        <v>289</v>
      </c>
      <c r="F52" s="102"/>
      <c r="G52" s="102"/>
      <c r="H52" s="103" t="s">
        <v>135</v>
      </c>
      <c r="I52" s="105">
        <v>0</v>
      </c>
      <c r="J52" s="102"/>
      <c r="K52" s="105">
        <v>0</v>
      </c>
      <c r="L52" s="102"/>
      <c r="M52" s="105">
        <v>0</v>
      </c>
      <c r="N52" s="102"/>
      <c r="O52" s="102" t="s">
        <v>182</v>
      </c>
      <c r="P52" s="102" t="str">
        <f t="shared" si="2"/>
        <v>N2|Por Mejorar</v>
      </c>
      <c r="Q52" s="102" t="s">
        <v>171</v>
      </c>
      <c r="R52" s="102" t="str">
        <f>TRIM(tbl_BasePowerBI[[#This Row],[NOMBRE EJECUTIVO]])</f>
        <v>Lina Lemus</v>
      </c>
      <c r="S52" s="102"/>
      <c r="T52" s="106"/>
      <c r="U52" s="106"/>
      <c r="V52" s="157"/>
      <c r="W52" s="169">
        <v>0</v>
      </c>
      <c r="X52" s="86"/>
      <c r="Y52" s="86"/>
      <c r="Z52" s="86" t="s">
        <v>290</v>
      </c>
      <c r="AA52" s="89"/>
      <c r="AB52" s="89"/>
      <c r="AC52" s="89" t="s">
        <v>3</v>
      </c>
      <c r="AD52" s="89" t="s">
        <v>138</v>
      </c>
      <c r="AE52" s="90" t="e" vm="10">
        <v>#VALUE!</v>
      </c>
      <c r="AF52" s="89"/>
      <c r="AG52" s="89" t="str">
        <f t="shared" si="3"/>
        <v>N4|En seguimiento</v>
      </c>
      <c r="AH52" s="86"/>
      <c r="AI52" s="86"/>
      <c r="AJ52" s="86">
        <v>52</v>
      </c>
      <c r="AK52" s="102"/>
      <c r="AN52" s="97" t="inlineStr">
        <is>
          <t>Salud</t>
        </is>
      </c>
    </row>
    <row r="53" spans="1:40" s="129" customFormat="1" ht="30" customHeight="1">
      <c r="A53" s="203" t="s">
        <v>1</v>
      </c>
      <c r="B53" s="203" t="s">
        <v>246</v>
      </c>
      <c r="C53" s="203" t="s">
        <v>291</v>
      </c>
      <c r="D53" s="209">
        <v>150000000</v>
      </c>
      <c r="E53" s="203" t="s">
        <v>292</v>
      </c>
      <c r="F53" s="203"/>
      <c r="G53" s="203"/>
      <c r="H53" s="205" t="s">
        <v>135</v>
      </c>
      <c r="I53" s="206">
        <v>100</v>
      </c>
      <c r="J53" s="205" t="s">
        <v>195</v>
      </c>
      <c r="K53" s="206">
        <v>100</v>
      </c>
      <c r="L53" s="205" t="s">
        <v>213</v>
      </c>
      <c r="M53" s="206">
        <v>100</v>
      </c>
      <c r="N53" s="203"/>
      <c r="O53" s="203" t="s">
        <v>229</v>
      </c>
      <c r="P53" s="203" t="str">
        <f t="shared" si="2"/>
        <v>N2|Cerrada</v>
      </c>
      <c r="Q53" s="203" t="s">
        <v>139</v>
      </c>
      <c r="R53" s="203" t="str">
        <f>TRIM(tbl_BasePowerBI[[#This Row],[NOMBRE EJECUTIVO]])</f>
        <v>Camilo Prada</v>
      </c>
      <c r="S53" s="203" t="s">
        <v>196</v>
      </c>
      <c r="T53" s="207">
        <v>46212</v>
      </c>
      <c r="U53" s="207">
        <v>46274</v>
      </c>
      <c r="V53" s="238"/>
      <c r="W53" s="209">
        <v>150000000</v>
      </c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>
        <v>53</v>
      </c>
      <c r="AK53" s="203" t="s">
        <v>178</v>
      </c>
      <c r="AN53" s="97" t="inlineStr">
        <is>
          <t>Tecnología</t>
        </is>
      </c>
    </row>
    <row r="54" spans="1:40" s="129" customFormat="1" ht="30" customHeight="1">
      <c r="A54" s="98" t="s">
        <v>1</v>
      </c>
      <c r="B54" s="101" t="s">
        <v>273</v>
      </c>
      <c r="C54" s="107" t="s">
        <v>293</v>
      </c>
      <c r="D54" s="135">
        <v>30000000</v>
      </c>
      <c r="E54" s="98" t="s">
        <v>294</v>
      </c>
      <c r="F54" s="98"/>
      <c r="G54" s="98"/>
      <c r="H54" s="101" t="s">
        <v>135</v>
      </c>
      <c r="I54" s="99">
        <v>100</v>
      </c>
      <c r="J54" s="101" t="s">
        <v>195</v>
      </c>
      <c r="K54" s="99">
        <v>100</v>
      </c>
      <c r="L54" s="101" t="s">
        <v>213</v>
      </c>
      <c r="M54" s="99">
        <v>100</v>
      </c>
      <c r="N54" s="98"/>
      <c r="O54" s="98" t="s">
        <v>182</v>
      </c>
      <c r="P54" s="98" t="str">
        <f t="shared" si="2"/>
        <v>N2|Por Mejorar</v>
      </c>
      <c r="Q54" s="98" t="s">
        <v>171</v>
      </c>
      <c r="R54" s="98" t="str">
        <f>TRIM(tbl_BasePowerBI[[#This Row],[NOMBRE EJECUTIVO]])</f>
        <v>Luisa Escobar</v>
      </c>
      <c r="S54" s="98" t="s">
        <v>205</v>
      </c>
      <c r="T54" s="100">
        <v>46261</v>
      </c>
      <c r="U54" s="100">
        <v>46261</v>
      </c>
      <c r="V54" s="155"/>
      <c r="W54" s="168">
        <v>30000000</v>
      </c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>
        <v>54</v>
      </c>
      <c r="AK54" s="102" t="s">
        <v>178</v>
      </c>
      <c r="AN54" s="97" t="inlineStr">
        <is>
          <t>Consumo Masivo</t>
        </is>
      </c>
    </row>
    <row r="55" spans="1:40" s="129" customFormat="1" ht="30" customHeight="1">
      <c r="A55" s="98" t="s">
        <v>1</v>
      </c>
      <c r="B55" s="101" t="s">
        <v>273</v>
      </c>
      <c r="C55" s="107" t="s">
        <v>295</v>
      </c>
      <c r="D55" s="135">
        <v>50000000</v>
      </c>
      <c r="E55" s="98" t="s">
        <v>296</v>
      </c>
      <c r="F55" s="98"/>
      <c r="G55" s="98"/>
      <c r="H55" s="101" t="s">
        <v>135</v>
      </c>
      <c r="I55" s="99">
        <v>100</v>
      </c>
      <c r="J55" s="98" t="s">
        <v>195</v>
      </c>
      <c r="K55" s="99">
        <v>50</v>
      </c>
      <c r="L55" s="98" t="s">
        <v>213</v>
      </c>
      <c r="M55" s="99">
        <v>50</v>
      </c>
      <c r="N55" s="102"/>
      <c r="O55" s="98" t="s">
        <v>138</v>
      </c>
      <c r="P55" s="98" t="str">
        <f t="shared" si="2"/>
        <v>N2|En seguimiento</v>
      </c>
      <c r="Q55" s="98" t="s">
        <v>171</v>
      </c>
      <c r="R55" s="98" t="str">
        <f>TRIM(tbl_BasePowerBI[[#This Row],[NOMBRE EJECUTIVO]])</f>
        <v>Luisa Escobar</v>
      </c>
      <c r="S55" s="98" t="s">
        <v>172</v>
      </c>
      <c r="T55" s="100">
        <v>46226</v>
      </c>
      <c r="U55" s="100">
        <v>46227</v>
      </c>
      <c r="V55" s="159" t="s">
        <v>297</v>
      </c>
      <c r="W55" s="168">
        <v>50000000</v>
      </c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>
        <v>55</v>
      </c>
      <c r="AK55" s="102" t="s">
        <v>178</v>
      </c>
      <c r="AN55" s="97" t="inlineStr">
        <is>
          <t>Consumo Masivo</t>
        </is>
      </c>
    </row>
    <row r="56" spans="1:40" s="129" customFormat="1" ht="30" customHeight="1">
      <c r="A56" s="98" t="s">
        <v>1</v>
      </c>
      <c r="B56" s="101" t="s">
        <v>284</v>
      </c>
      <c r="C56" s="107" t="s">
        <v>298</v>
      </c>
      <c r="D56" s="136">
        <v>75000000</v>
      </c>
      <c r="E56" s="98" t="s">
        <v>299</v>
      </c>
      <c r="F56" s="98"/>
      <c r="G56" s="98"/>
      <c r="H56" s="101" t="s">
        <v>135</v>
      </c>
      <c r="I56" s="99">
        <v>100</v>
      </c>
      <c r="J56" s="148" t="s">
        <v>195</v>
      </c>
      <c r="K56" s="99">
        <v>50</v>
      </c>
      <c r="L56" s="98" t="s">
        <v>213</v>
      </c>
      <c r="M56" s="99">
        <v>50</v>
      </c>
      <c r="N56" s="98"/>
      <c r="O56" s="98" t="s">
        <v>138</v>
      </c>
      <c r="P56" s="98" t="str">
        <f t="shared" si="2"/>
        <v>N2|En seguimiento</v>
      </c>
      <c r="Q56" s="98" t="s">
        <v>171</v>
      </c>
      <c r="R56" s="98" t="str">
        <f>TRIM(tbl_BasePowerBI[[#This Row],[NOMBRE EJECUTIVO]])</f>
        <v>Lina Lemus</v>
      </c>
      <c r="S56" s="98" t="s">
        <v>172</v>
      </c>
      <c r="T56" s="106">
        <v>46225</v>
      </c>
      <c r="U56" s="106">
        <v>46230</v>
      </c>
      <c r="V56" s="159" t="s">
        <v>300</v>
      </c>
      <c r="W56" s="169">
        <v>75000000</v>
      </c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>
        <v>56</v>
      </c>
      <c r="AK56" s="102" t="s">
        <v>198</v>
      </c>
      <c r="AN56" s="97" t="inlineStr">
        <is>
          <t>Servicios</t>
        </is>
      </c>
    </row>
    <row r="57" spans="1:40" s="129" customFormat="1" ht="30" customHeight="1">
      <c r="A57" s="102" t="s">
        <v>1</v>
      </c>
      <c r="B57" s="103" t="s">
        <v>273</v>
      </c>
      <c r="C57" s="104" t="s">
        <v>301</v>
      </c>
      <c r="D57" s="136">
        <v>0</v>
      </c>
      <c r="E57" s="102"/>
      <c r="F57" s="102"/>
      <c r="G57" s="102"/>
      <c r="H57" s="147" t="s">
        <v>135</v>
      </c>
      <c r="I57" s="105"/>
      <c r="J57" s="102"/>
      <c r="K57" s="105"/>
      <c r="L57" s="102"/>
      <c r="M57" s="105"/>
      <c r="N57" s="102"/>
      <c r="O57" s="102" t="s">
        <v>182</v>
      </c>
      <c r="P57" s="102" t="str">
        <f t="shared" si="2"/>
        <v>N2|Por Mejorar</v>
      </c>
      <c r="Q57" s="102" t="s">
        <v>171</v>
      </c>
      <c r="R57" s="102" t="str">
        <f>TRIM(tbl_BasePowerBI[[#This Row],[NOMBRE EJECUTIVO]])</f>
        <v>Luisa Escobar</v>
      </c>
      <c r="S57" s="102"/>
      <c r="T57" s="106"/>
      <c r="U57" s="106"/>
      <c r="V57" s="157"/>
      <c r="W57" s="169">
        <v>0</v>
      </c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>
        <v>58</v>
      </c>
      <c r="AK57" s="102"/>
      <c r="AN57" s="97" t="inlineStr">
        <is>
          <t>Banca</t>
        </is>
      </c>
    </row>
    <row r="58" spans="1:40" s="129" customFormat="1" ht="30" customHeight="1">
      <c r="A58" s="102" t="s">
        <v>1</v>
      </c>
      <c r="B58" s="103" t="s">
        <v>284</v>
      </c>
      <c r="C58" s="104" t="s">
        <v>302</v>
      </c>
      <c r="D58" s="136">
        <v>0</v>
      </c>
      <c r="E58" s="102"/>
      <c r="F58" s="102"/>
      <c r="G58" s="102"/>
      <c r="H58" s="147" t="s">
        <v>135</v>
      </c>
      <c r="I58" s="105"/>
      <c r="J58" s="102"/>
      <c r="K58" s="105"/>
      <c r="L58" s="102"/>
      <c r="M58" s="105"/>
      <c r="N58" s="102"/>
      <c r="O58" s="102" t="s">
        <v>182</v>
      </c>
      <c r="P58" s="102" t="str">
        <f t="shared" si="2"/>
        <v>N2|Por Mejorar</v>
      </c>
      <c r="Q58" s="102" t="s">
        <v>171</v>
      </c>
      <c r="R58" s="102" t="str">
        <f>TRIM(tbl_BasePowerBI[[#This Row],[NOMBRE EJECUTIVO]])</f>
        <v>Lina Lemus</v>
      </c>
      <c r="S58" s="102"/>
      <c r="T58" s="106"/>
      <c r="U58" s="106"/>
      <c r="V58" s="157"/>
      <c r="W58" s="169">
        <v>0</v>
      </c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>
        <v>59</v>
      </c>
      <c r="AK58" s="102"/>
      <c r="AN58" s="97" t="inlineStr">
        <is>
          <t>Banca</t>
        </is>
      </c>
    </row>
    <row r="59" spans="1:40" s="129" customFormat="1" ht="30" customHeight="1">
      <c r="A59" s="98" t="s">
        <v>1</v>
      </c>
      <c r="B59" s="98" t="s">
        <v>284</v>
      </c>
      <c r="C59" s="98" t="s">
        <v>303</v>
      </c>
      <c r="D59" s="135">
        <v>40000000</v>
      </c>
      <c r="E59" s="101" t="s">
        <v>304</v>
      </c>
      <c r="F59" s="98"/>
      <c r="G59" s="98"/>
      <c r="H59" s="101" t="s">
        <v>195</v>
      </c>
      <c r="I59" s="99">
        <v>100</v>
      </c>
      <c r="J59" s="98" t="s">
        <v>305</v>
      </c>
      <c r="K59" s="99">
        <v>100</v>
      </c>
      <c r="L59" s="98" t="s">
        <v>306</v>
      </c>
      <c r="M59" s="99">
        <v>50</v>
      </c>
      <c r="N59" s="98"/>
      <c r="O59" s="98" t="s">
        <v>307</v>
      </c>
      <c r="P59" s="98" t="str">
        <f t="shared" si="2"/>
        <v>N2|Por cerrar</v>
      </c>
      <c r="Q59" s="98" t="s">
        <v>139</v>
      </c>
      <c r="R59" s="98" t="str">
        <f>TRIM(tbl_BasePowerBI[[#This Row],[NOMBRE EJECUTIVO]])</f>
        <v>Lina Lemus</v>
      </c>
      <c r="S59" s="98" t="s">
        <v>172</v>
      </c>
      <c r="T59" s="100">
        <v>46204</v>
      </c>
      <c r="U59" s="106">
        <v>46204</v>
      </c>
      <c r="V59" s="156" t="s">
        <v>308</v>
      </c>
      <c r="W59" s="169">
        <v>40000000</v>
      </c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>
        <v>60</v>
      </c>
      <c r="AK59" s="102" t="s">
        <v>178</v>
      </c>
      <c r="AN59" s="97" t="inlineStr">
        <is>
          <t>Servicios</t>
        </is>
      </c>
    </row>
    <row r="60" spans="1:40" s="129" customFormat="1" ht="30" customHeight="1">
      <c r="A60" s="102" t="s">
        <v>2</v>
      </c>
      <c r="B60" s="103" t="s">
        <v>309</v>
      </c>
      <c r="C60" s="102" t="s">
        <v>310</v>
      </c>
      <c r="D60" s="136">
        <v>38566800</v>
      </c>
      <c r="E60" s="102" t="s">
        <v>311</v>
      </c>
      <c r="F60" s="102"/>
      <c r="G60" s="102"/>
      <c r="H60" s="103" t="s">
        <v>135</v>
      </c>
      <c r="I60" s="105">
        <v>0</v>
      </c>
      <c r="J60" s="102"/>
      <c r="K60" s="105">
        <v>0</v>
      </c>
      <c r="L60" s="102"/>
      <c r="M60" s="105">
        <v>0</v>
      </c>
      <c r="N60" s="102"/>
      <c r="O60" s="102" t="s">
        <v>182</v>
      </c>
      <c r="P60" s="102" t="str">
        <f t="shared" si="2"/>
        <v>N3|Por Mejorar</v>
      </c>
      <c r="Q60" s="102" t="s">
        <v>171</v>
      </c>
      <c r="R60" s="102" t="str">
        <f>TRIM(tbl_BasePowerBI[[#This Row],[NOMBRE EJECUTIVO]])</f>
        <v>Helen Fajardo</v>
      </c>
      <c r="S60" s="102"/>
      <c r="T60" s="106"/>
      <c r="U60" s="106"/>
      <c r="V60" s="157"/>
      <c r="W60" s="169">
        <v>0</v>
      </c>
      <c r="X60" s="86"/>
      <c r="Y60" s="86"/>
      <c r="Z60" s="86" t="s">
        <v>312</v>
      </c>
      <c r="AA60" s="88" t="s">
        <v>313</v>
      </c>
      <c r="AB60" s="89" t="s">
        <v>3</v>
      </c>
      <c r="AC60" s="89" t="s">
        <v>1</v>
      </c>
      <c r="AD60" s="89" t="s">
        <v>182</v>
      </c>
      <c r="AE60" s="90" t="e" vm="11">
        <v>#VALUE!</v>
      </c>
      <c r="AF60" s="89"/>
      <c r="AG60" s="89" t="str">
        <f>AC60&amp;"|"&amp;AD60</f>
        <v>N2|Por Mejorar</v>
      </c>
      <c r="AH60" s="86"/>
      <c r="AI60" s="86"/>
      <c r="AJ60" s="86">
        <v>61</v>
      </c>
      <c r="AK60" s="102"/>
      <c r="AN60" s="97" t="inlineStr">
        <is>
          <t>Servicios</t>
        </is>
      </c>
    </row>
    <row r="61" spans="1:40" s="129" customFormat="1" ht="30" customHeight="1">
      <c r="A61" s="98" t="s">
        <v>2</v>
      </c>
      <c r="B61" s="98" t="s">
        <v>309</v>
      </c>
      <c r="C61" s="98" t="s">
        <v>314</v>
      </c>
      <c r="D61" s="135">
        <v>40000000</v>
      </c>
      <c r="E61" s="98" t="s">
        <v>315</v>
      </c>
      <c r="F61" s="98"/>
      <c r="G61" s="98"/>
      <c r="H61" s="101" t="s">
        <v>135</v>
      </c>
      <c r="I61" s="99">
        <v>100</v>
      </c>
      <c r="J61" s="98" t="s">
        <v>136</v>
      </c>
      <c r="K61" s="99">
        <v>100</v>
      </c>
      <c r="L61" s="98" t="s">
        <v>137</v>
      </c>
      <c r="M61" s="99">
        <v>50</v>
      </c>
      <c r="N61" s="98"/>
      <c r="O61" s="98" t="s">
        <v>138</v>
      </c>
      <c r="P61" s="98" t="str">
        <f t="shared" si="2"/>
        <v>N3|En seguimiento</v>
      </c>
      <c r="Q61" s="98" t="s">
        <v>139</v>
      </c>
      <c r="R61" s="98" t="str">
        <f>TRIM(tbl_BasePowerBI[[#This Row],[NOMBRE EJECUTIVO]])</f>
        <v>Helen Fajardo</v>
      </c>
      <c r="S61" s="98" t="s">
        <v>140</v>
      </c>
      <c r="T61" s="100">
        <v>46185</v>
      </c>
      <c r="U61" s="106">
        <v>46185</v>
      </c>
      <c r="V61" s="156" t="s">
        <v>316</v>
      </c>
      <c r="W61" s="169">
        <v>46437280</v>
      </c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>
        <v>62</v>
      </c>
      <c r="AK61" s="102" t="s">
        <v>178</v>
      </c>
      <c r="AN61" s="97" t="inlineStr">
        <is>
          <t>Educación</t>
        </is>
      </c>
    </row>
    <row r="62" spans="1:40" s="129" customFormat="1" ht="30" customHeight="1">
      <c r="A62" s="102" t="s">
        <v>2</v>
      </c>
      <c r="B62" s="103" t="s">
        <v>317</v>
      </c>
      <c r="C62" s="104" t="s">
        <v>318</v>
      </c>
      <c r="D62" s="136">
        <v>0</v>
      </c>
      <c r="E62" s="104" t="s">
        <v>19</v>
      </c>
      <c r="F62" s="102"/>
      <c r="G62" s="102"/>
      <c r="H62" s="147" t="s">
        <v>135</v>
      </c>
      <c r="I62" s="105"/>
      <c r="J62" s="102"/>
      <c r="K62" s="105"/>
      <c r="L62" s="102"/>
      <c r="M62" s="105"/>
      <c r="N62" s="102"/>
      <c r="O62" s="102" t="s">
        <v>182</v>
      </c>
      <c r="P62" s="102" t="str">
        <f t="shared" si="2"/>
        <v>N3|Por Mejorar</v>
      </c>
      <c r="Q62" s="102" t="s">
        <v>171</v>
      </c>
      <c r="R62" s="102" t="str">
        <f>TRIM(tbl_BasePowerBI[[#This Row],[NOMBRE EJECUTIVO]])</f>
        <v>Hugo Urrea</v>
      </c>
      <c r="S62" s="102"/>
      <c r="T62" s="106"/>
      <c r="U62" s="106"/>
      <c r="V62" s="157"/>
      <c r="W62" s="169">
        <v>0</v>
      </c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>
        <v>63</v>
      </c>
      <c r="AK62" s="102"/>
      <c r="AN62" s="97" t="inlineStr">
        <is>
          <t>Tecnología</t>
        </is>
      </c>
    </row>
    <row r="63" spans="1:40" s="129" customFormat="1" ht="30" customHeight="1">
      <c r="A63" s="102" t="s">
        <v>2</v>
      </c>
      <c r="B63" s="103" t="s">
        <v>317</v>
      </c>
      <c r="C63" s="104" t="s">
        <v>319</v>
      </c>
      <c r="D63" s="136">
        <v>0</v>
      </c>
      <c r="E63" s="104" t="s">
        <v>25</v>
      </c>
      <c r="F63" s="102"/>
      <c r="G63" s="102"/>
      <c r="H63" s="147" t="s">
        <v>135</v>
      </c>
      <c r="I63" s="105"/>
      <c r="J63" s="102"/>
      <c r="K63" s="105"/>
      <c r="L63" s="102"/>
      <c r="M63" s="105"/>
      <c r="N63" s="102"/>
      <c r="O63" s="102" t="s">
        <v>182</v>
      </c>
      <c r="P63" s="102" t="str">
        <f t="shared" si="2"/>
        <v>N3|Por Mejorar</v>
      </c>
      <c r="Q63" s="102" t="s">
        <v>171</v>
      </c>
      <c r="R63" s="102" t="str">
        <f>TRIM(tbl_BasePowerBI[[#This Row],[NOMBRE EJECUTIVO]])</f>
        <v>Hugo Urrea</v>
      </c>
      <c r="S63" s="102"/>
      <c r="T63" s="106"/>
      <c r="U63" s="106"/>
      <c r="V63" s="157"/>
      <c r="W63" s="169">
        <v>0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>
        <v>64</v>
      </c>
      <c r="AK63" s="102"/>
      <c r="AN63" s="97" t="inlineStr">
        <is>
          <t>Educación</t>
        </is>
      </c>
    </row>
    <row r="64" spans="1:40" s="129" customFormat="1" ht="30" customHeight="1">
      <c r="A64" s="102" t="s">
        <v>2</v>
      </c>
      <c r="B64" s="103" t="s">
        <v>320</v>
      </c>
      <c r="C64" s="104" t="s">
        <v>321</v>
      </c>
      <c r="D64" s="136">
        <v>0</v>
      </c>
      <c r="E64" s="104" t="s">
        <v>31</v>
      </c>
      <c r="F64" s="102"/>
      <c r="G64" s="102"/>
      <c r="H64" s="147" t="s">
        <v>135</v>
      </c>
      <c r="I64" s="105"/>
      <c r="J64" s="102"/>
      <c r="K64" s="105"/>
      <c r="L64" s="102"/>
      <c r="M64" s="105"/>
      <c r="N64" s="102"/>
      <c r="O64" s="102" t="s">
        <v>182</v>
      </c>
      <c r="P64" s="102" t="str">
        <f t="shared" si="2"/>
        <v>N3|Por Mejorar</v>
      </c>
      <c r="Q64" s="102" t="s">
        <v>171</v>
      </c>
      <c r="R64" s="102" t="str">
        <f>TRIM(tbl_BasePowerBI[[#This Row],[NOMBRE EJECUTIVO]])</f>
        <v>Sofia Calvera</v>
      </c>
      <c r="S64" s="102"/>
      <c r="T64" s="106"/>
      <c r="U64" s="106"/>
      <c r="V64" s="157"/>
      <c r="W64" s="169">
        <v>0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>
        <v>65</v>
      </c>
      <c r="AK64" s="102"/>
      <c r="AN64" s="97" t="inlineStr">
        <is>
          <t>Consumo Masivo</t>
        </is>
      </c>
    </row>
    <row r="65" spans="1:40" s="129" customFormat="1" ht="30" customHeight="1">
      <c r="A65" s="102" t="s">
        <v>2</v>
      </c>
      <c r="B65" s="103" t="s">
        <v>322</v>
      </c>
      <c r="C65" s="104" t="s">
        <v>323</v>
      </c>
      <c r="D65" s="136">
        <v>0</v>
      </c>
      <c r="E65" s="104" t="s">
        <v>38</v>
      </c>
      <c r="F65" s="102"/>
      <c r="G65" s="102"/>
      <c r="H65" s="147" t="s">
        <v>135</v>
      </c>
      <c r="I65" s="105"/>
      <c r="J65" s="102"/>
      <c r="K65" s="105"/>
      <c r="L65" s="102"/>
      <c r="M65" s="105"/>
      <c r="N65" s="102"/>
      <c r="O65" s="102" t="s">
        <v>182</v>
      </c>
      <c r="P65" s="102" t="str">
        <f t="shared" si="2"/>
        <v>N3|Por Mejorar</v>
      </c>
      <c r="Q65" s="102" t="s">
        <v>171</v>
      </c>
      <c r="R65" s="102" t="str">
        <f>TRIM(tbl_BasePowerBI[[#This Row],[NOMBRE EJECUTIVO]])</f>
        <v>Elsa Cortez</v>
      </c>
      <c r="S65" s="102"/>
      <c r="T65" s="106"/>
      <c r="U65" s="106"/>
      <c r="V65" s="157"/>
      <c r="W65" s="169">
        <v>0</v>
      </c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>
        <v>67</v>
      </c>
      <c r="AK65" s="102"/>
      <c r="AN65" s="97" t="inlineStr">
        <is>
          <t>Educación</t>
        </is>
      </c>
    </row>
    <row r="66" spans="1:40" s="129" customFormat="1" ht="30" customHeight="1">
      <c r="A66" s="102" t="s">
        <v>2</v>
      </c>
      <c r="B66" s="103" t="s">
        <v>309</v>
      </c>
      <c r="C66" s="104" t="s">
        <v>324</v>
      </c>
      <c r="D66" s="136">
        <v>0</v>
      </c>
      <c r="E66" s="104" t="s">
        <v>44</v>
      </c>
      <c r="F66" s="102"/>
      <c r="G66" s="102"/>
      <c r="H66" s="147" t="s">
        <v>135</v>
      </c>
      <c r="I66" s="105"/>
      <c r="J66" s="102"/>
      <c r="K66" s="105"/>
      <c r="L66" s="102"/>
      <c r="M66" s="105"/>
      <c r="N66" s="102"/>
      <c r="O66" s="102" t="s">
        <v>182</v>
      </c>
      <c r="P66" s="102" t="str">
        <f t="shared" si="2"/>
        <v>N3|Por Mejorar</v>
      </c>
      <c r="Q66" s="102" t="s">
        <v>171</v>
      </c>
      <c r="R66" s="102" t="str">
        <f>TRIM(tbl_BasePowerBI[[#This Row],[NOMBRE EJECUTIVO]])</f>
        <v>Helen Fajardo</v>
      </c>
      <c r="S66" s="102"/>
      <c r="T66" s="106"/>
      <c r="U66" s="106"/>
      <c r="V66" s="157"/>
      <c r="W66" s="169">
        <v>0</v>
      </c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>
        <v>68</v>
      </c>
      <c r="AK66" s="102"/>
      <c r="AN66" s="97" t="inlineStr">
        <is>
          <t>Tecnología</t>
        </is>
      </c>
    </row>
    <row r="67" spans="1:40" s="129" customFormat="1" ht="30" customHeight="1">
      <c r="A67" s="98" t="s">
        <v>2</v>
      </c>
      <c r="B67" s="101" t="s">
        <v>325</v>
      </c>
      <c r="C67" s="107" t="s">
        <v>326</v>
      </c>
      <c r="D67" s="135">
        <v>15000000</v>
      </c>
      <c r="E67" s="107" t="s">
        <v>51</v>
      </c>
      <c r="F67" s="98"/>
      <c r="G67" s="98"/>
      <c r="H67" s="101" t="s">
        <v>135</v>
      </c>
      <c r="I67" s="99">
        <v>100</v>
      </c>
      <c r="J67" s="98" t="s">
        <v>327</v>
      </c>
      <c r="K67" s="99">
        <v>100</v>
      </c>
      <c r="L67" s="101" t="s">
        <v>213</v>
      </c>
      <c r="M67" s="99">
        <v>50</v>
      </c>
      <c r="N67" s="98"/>
      <c r="O67" s="98" t="s">
        <v>138</v>
      </c>
      <c r="P67" s="98" t="str">
        <f t="shared" ref="P67:P97" si="4">A67&amp;"|"&amp;O67</f>
        <v>N3|En seguimiento</v>
      </c>
      <c r="Q67" s="98" t="s">
        <v>139</v>
      </c>
      <c r="R67" s="98" t="str">
        <f>TRIM(tbl_BasePowerBI[[#This Row],[NOMBRE EJECUTIVO]])</f>
        <v>Laura Melo</v>
      </c>
      <c r="S67" s="98" t="s">
        <v>172</v>
      </c>
      <c r="T67" s="100">
        <v>46168</v>
      </c>
      <c r="U67" s="100">
        <v>46224</v>
      </c>
      <c r="V67" s="154" t="s">
        <v>328</v>
      </c>
      <c r="W67" s="168">
        <v>15000000</v>
      </c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>
        <v>69</v>
      </c>
      <c r="AK67" s="102" t="s">
        <v>188</v>
      </c>
      <c r="AN67" s="97" t="inlineStr">
        <is>
          <t>Otros</t>
        </is>
      </c>
    </row>
    <row r="68" spans="1:40" s="248" customFormat="1" ht="30" customHeight="1">
      <c r="A68" s="242" t="s">
        <v>2</v>
      </c>
      <c r="B68" s="242" t="s">
        <v>329</v>
      </c>
      <c r="C68" s="242" t="s">
        <v>330</v>
      </c>
      <c r="D68" s="243">
        <v>50000000</v>
      </c>
      <c r="E68" s="242" t="s">
        <v>331</v>
      </c>
      <c r="F68" s="242"/>
      <c r="G68" s="242"/>
      <c r="H68" s="242" t="s">
        <v>332</v>
      </c>
      <c r="I68" s="244">
        <v>100</v>
      </c>
      <c r="J68" s="242" t="s">
        <v>333</v>
      </c>
      <c r="K68" s="244">
        <v>100</v>
      </c>
      <c r="L68" s="242" t="s">
        <v>334</v>
      </c>
      <c r="M68" s="244">
        <v>50</v>
      </c>
      <c r="N68" s="242"/>
      <c r="O68" s="242" t="s">
        <v>335</v>
      </c>
      <c r="P68" s="242" t="str">
        <f t="shared" si="4"/>
        <v>N3|cerrada</v>
      </c>
      <c r="Q68" s="242" t="s">
        <v>139</v>
      </c>
      <c r="R68" s="242" t="str">
        <f>TRIM(tbl_BasePowerBI[[#This Row],[NOMBRE EJECUTIVO]])</f>
        <v>Diana Andrea Rodiguez</v>
      </c>
      <c r="S68" s="242" t="s">
        <v>140</v>
      </c>
      <c r="T68" s="245">
        <v>46197</v>
      </c>
      <c r="U68" s="245">
        <v>46270</v>
      </c>
      <c r="V68" s="246" t="s">
        <v>336</v>
      </c>
      <c r="W68" s="247">
        <v>50686060</v>
      </c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>
        <v>70</v>
      </c>
      <c r="AK68" s="242" t="s">
        <v>178</v>
      </c>
      <c r="AN68" s="97" t="inlineStr">
        <is>
          <t>Consumo Masivo</t>
        </is>
      </c>
    </row>
    <row r="69" spans="1:40" s="129" customFormat="1" ht="30" customHeight="1">
      <c r="A69" s="98" t="s">
        <v>2</v>
      </c>
      <c r="B69" s="98" t="s">
        <v>337</v>
      </c>
      <c r="C69" s="98" t="s">
        <v>338</v>
      </c>
      <c r="D69" s="135">
        <v>30000000</v>
      </c>
      <c r="E69" s="101" t="s">
        <v>181</v>
      </c>
      <c r="F69" s="98"/>
      <c r="G69" s="98"/>
      <c r="H69" s="101" t="s">
        <v>195</v>
      </c>
      <c r="I69" s="99">
        <v>100</v>
      </c>
      <c r="J69" s="101" t="s">
        <v>213</v>
      </c>
      <c r="K69" s="99">
        <v>100</v>
      </c>
      <c r="L69" s="98"/>
      <c r="M69" s="99"/>
      <c r="N69" s="98"/>
      <c r="O69" s="98" t="s">
        <v>138</v>
      </c>
      <c r="P69" s="98" t="str">
        <f t="shared" si="4"/>
        <v>N3|En seguimiento</v>
      </c>
      <c r="Q69" s="98" t="s">
        <v>139</v>
      </c>
      <c r="R69" s="98" t="str">
        <f>TRIM(tbl_BasePowerBI[[#This Row],[NOMBRE EJECUTIVO]])</f>
        <v>Diana Andrea Rodriguez</v>
      </c>
      <c r="S69" s="98" t="s">
        <v>172</v>
      </c>
      <c r="T69" s="100">
        <v>46211</v>
      </c>
      <c r="U69" s="100">
        <v>46213</v>
      </c>
      <c r="V69" s="154" t="s">
        <v>339</v>
      </c>
      <c r="W69" s="168">
        <v>30000000</v>
      </c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>
        <v>71</v>
      </c>
      <c r="AK69" s="102" t="s">
        <v>178</v>
      </c>
      <c r="AN69" s="97" t="inlineStr">
        <is>
          <t>Moda</t>
        </is>
      </c>
    </row>
    <row r="70" spans="1:40" s="129" customFormat="1" ht="30" customHeight="1">
      <c r="A70" s="113" t="s">
        <v>2</v>
      </c>
      <c r="B70" s="113" t="s">
        <v>340</v>
      </c>
      <c r="C70" s="113" t="s">
        <v>341</v>
      </c>
      <c r="D70" s="138">
        <v>5000000</v>
      </c>
      <c r="E70" s="113" t="s">
        <v>342</v>
      </c>
      <c r="F70" s="113"/>
      <c r="G70" s="113"/>
      <c r="H70" s="113" t="s">
        <v>343</v>
      </c>
      <c r="I70" s="114">
        <v>100</v>
      </c>
      <c r="J70" s="113" t="s">
        <v>344</v>
      </c>
      <c r="K70" s="114">
        <v>100</v>
      </c>
      <c r="L70" s="113"/>
      <c r="M70" s="114"/>
      <c r="N70" s="113"/>
      <c r="O70" s="113" t="s">
        <v>229</v>
      </c>
      <c r="P70" s="113" t="str">
        <f t="shared" si="4"/>
        <v>N3|Cerrada</v>
      </c>
      <c r="Q70" s="113" t="s">
        <v>254</v>
      </c>
      <c r="R70" s="113" t="str">
        <f>TRIM(tbl_BasePowerBI[[#This Row],[NOMBRE EJECUTIVO]])</f>
        <v>Laura Calvera</v>
      </c>
      <c r="S70" s="113" t="s">
        <v>140</v>
      </c>
      <c r="T70" s="115">
        <v>46175</v>
      </c>
      <c r="U70" s="115">
        <v>46175</v>
      </c>
      <c r="V70" s="158" t="s">
        <v>345</v>
      </c>
      <c r="W70" s="171">
        <v>5500000</v>
      </c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>
        <v>72</v>
      </c>
      <c r="AK70" s="102" t="s">
        <v>178</v>
      </c>
      <c r="AN70" s="97" t="inlineStr">
        <is>
          <t>Automotriz</t>
        </is>
      </c>
    </row>
    <row r="71" spans="1:40" s="129" customFormat="1" ht="30" customHeight="1">
      <c r="A71" s="98" t="s">
        <v>2</v>
      </c>
      <c r="B71" s="98" t="s">
        <v>337</v>
      </c>
      <c r="C71" s="98" t="s">
        <v>321</v>
      </c>
      <c r="D71" s="135">
        <v>40000000</v>
      </c>
      <c r="E71" s="98" t="s">
        <v>346</v>
      </c>
      <c r="F71" s="98"/>
      <c r="G71" s="98"/>
      <c r="H71" s="101" t="s">
        <v>135</v>
      </c>
      <c r="I71" s="99">
        <v>100</v>
      </c>
      <c r="J71" s="101" t="s">
        <v>213</v>
      </c>
      <c r="K71" s="99">
        <v>100</v>
      </c>
      <c r="L71" s="98" t="s">
        <v>137</v>
      </c>
      <c r="M71" s="99">
        <v>50</v>
      </c>
      <c r="N71" s="98"/>
      <c r="O71" s="98" t="s">
        <v>138</v>
      </c>
      <c r="P71" s="98" t="str">
        <f t="shared" si="4"/>
        <v>N3|En seguimiento</v>
      </c>
      <c r="Q71" s="98" t="s">
        <v>254</v>
      </c>
      <c r="R71" s="98" t="str">
        <f>TRIM(tbl_BasePowerBI[[#This Row],[NOMBRE EJECUTIVO]])</f>
        <v>Diana Andrea Rodriguez</v>
      </c>
      <c r="S71" s="98" t="s">
        <v>140</v>
      </c>
      <c r="T71" s="100"/>
      <c r="U71" s="106">
        <v>46197</v>
      </c>
      <c r="V71" s="156" t="s">
        <v>347</v>
      </c>
      <c r="W71" s="169">
        <v>40000000</v>
      </c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>
        <v>73</v>
      </c>
      <c r="AK71" s="102" t="s">
        <v>178</v>
      </c>
      <c r="AN71" s="97" t="inlineStr">
        <is>
          <t>Consumo Masivo</t>
        </is>
      </c>
    </row>
    <row r="72" spans="1:40" s="129" customFormat="1" ht="30" customHeight="1">
      <c r="A72" s="102" t="s">
        <v>2</v>
      </c>
      <c r="B72" s="103" t="s">
        <v>348</v>
      </c>
      <c r="C72" s="104" t="s">
        <v>349</v>
      </c>
      <c r="D72" s="136">
        <v>0</v>
      </c>
      <c r="E72" s="104" t="s">
        <v>47</v>
      </c>
      <c r="F72" s="102"/>
      <c r="G72" s="102"/>
      <c r="H72" s="147" t="s">
        <v>135</v>
      </c>
      <c r="I72" s="105">
        <v>0</v>
      </c>
      <c r="J72" s="102"/>
      <c r="K72" s="105"/>
      <c r="L72" s="102"/>
      <c r="M72" s="105"/>
      <c r="N72" s="102"/>
      <c r="O72" s="102" t="s">
        <v>182</v>
      </c>
      <c r="P72" s="102" t="str">
        <f t="shared" si="4"/>
        <v>N3|Por Mejorar</v>
      </c>
      <c r="Q72" s="102" t="s">
        <v>171</v>
      </c>
      <c r="R72" s="102" t="str">
        <f>TRIM(tbl_BasePowerBI[[#This Row],[NOMBRE EJECUTIVO]])</f>
        <v>Nicole Hincapie</v>
      </c>
      <c r="S72" s="102"/>
      <c r="T72" s="106"/>
      <c r="U72" s="106"/>
      <c r="V72" s="157"/>
      <c r="W72" s="169">
        <v>0</v>
      </c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>
        <v>74</v>
      </c>
      <c r="AK72" s="102"/>
      <c r="AN72" s="97" t="inlineStr">
        <is>
          <t>Tecnología</t>
        </is>
      </c>
    </row>
    <row r="73" spans="1:40" s="129" customFormat="1" ht="30" customHeight="1">
      <c r="A73" s="102" t="s">
        <v>2</v>
      </c>
      <c r="B73" s="103" t="s">
        <v>348</v>
      </c>
      <c r="C73" s="104" t="s">
        <v>350</v>
      </c>
      <c r="D73" s="136">
        <v>0</v>
      </c>
      <c r="E73" s="104" t="s">
        <v>54</v>
      </c>
      <c r="F73" s="102"/>
      <c r="G73" s="102"/>
      <c r="H73" s="147" t="s">
        <v>135</v>
      </c>
      <c r="I73" s="105">
        <v>0</v>
      </c>
      <c r="J73" s="102"/>
      <c r="K73" s="105"/>
      <c r="L73" s="102"/>
      <c r="M73" s="105"/>
      <c r="N73" s="102"/>
      <c r="O73" s="102" t="s">
        <v>182</v>
      </c>
      <c r="P73" s="102" t="str">
        <f t="shared" si="4"/>
        <v>N3|Por Mejorar</v>
      </c>
      <c r="Q73" s="102" t="s">
        <v>171</v>
      </c>
      <c r="R73" s="102" t="str">
        <f>TRIM(tbl_BasePowerBI[[#This Row],[NOMBRE EJECUTIVO]])</f>
        <v>Nicole Hincapie</v>
      </c>
      <c r="S73" s="102"/>
      <c r="T73" s="106"/>
      <c r="U73" s="106"/>
      <c r="V73" s="157"/>
      <c r="W73" s="169">
        <v>0</v>
      </c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>
        <v>76</v>
      </c>
      <c r="AK73" s="102"/>
      <c r="AN73" s="97" t="inlineStr">
        <is>
          <t>Inmobiliario</t>
        </is>
      </c>
    </row>
    <row r="74" spans="1:40" s="129" customFormat="1" ht="30" customHeight="1">
      <c r="A74" s="102" t="s">
        <v>2</v>
      </c>
      <c r="B74" s="103" t="s">
        <v>348</v>
      </c>
      <c r="C74" s="104" t="s">
        <v>351</v>
      </c>
      <c r="D74" s="136">
        <v>0</v>
      </c>
      <c r="E74" s="104" t="s">
        <v>60</v>
      </c>
      <c r="F74" s="102"/>
      <c r="G74" s="102"/>
      <c r="H74" s="147" t="s">
        <v>135</v>
      </c>
      <c r="I74" s="105">
        <v>0</v>
      </c>
      <c r="J74" s="102"/>
      <c r="K74" s="105"/>
      <c r="L74" s="102"/>
      <c r="M74" s="105"/>
      <c r="N74" s="102"/>
      <c r="O74" s="102" t="s">
        <v>182</v>
      </c>
      <c r="P74" s="102" t="str">
        <f t="shared" si="4"/>
        <v>N3|Por Mejorar</v>
      </c>
      <c r="Q74" s="102" t="s">
        <v>171</v>
      </c>
      <c r="R74" s="102" t="str">
        <f>TRIM(tbl_BasePowerBI[[#This Row],[NOMBRE EJECUTIVO]])</f>
        <v>Nicole Hincapie</v>
      </c>
      <c r="S74" s="102"/>
      <c r="T74" s="106"/>
      <c r="U74" s="106"/>
      <c r="V74" s="157"/>
      <c r="W74" s="169">
        <v>0</v>
      </c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>
        <v>77</v>
      </c>
      <c r="AK74" s="102"/>
      <c r="AL74" s="126"/>
      <c r="AN74" s="97" t="inlineStr">
        <is>
          <t>Banca</t>
        </is>
      </c>
    </row>
    <row r="75" spans="1:40" s="129" customFormat="1" ht="30" customHeight="1">
      <c r="A75" s="102" t="s">
        <v>3</v>
      </c>
      <c r="B75" s="102" t="s">
        <v>352</v>
      </c>
      <c r="C75" s="104" t="s">
        <v>86</v>
      </c>
      <c r="D75" s="136">
        <v>0</v>
      </c>
      <c r="E75" s="104" t="s">
        <v>353</v>
      </c>
      <c r="F75" s="102"/>
      <c r="G75" s="102"/>
      <c r="H75" s="103" t="s">
        <v>135</v>
      </c>
      <c r="I75" s="105">
        <v>0</v>
      </c>
      <c r="J75" s="102"/>
      <c r="K75" s="105"/>
      <c r="L75" s="102"/>
      <c r="M75" s="105"/>
      <c r="N75" s="102"/>
      <c r="O75" s="102" t="s">
        <v>182</v>
      </c>
      <c r="P75" s="102" t="str">
        <f t="shared" si="4"/>
        <v>N4|Por Mejorar</v>
      </c>
      <c r="Q75" s="102" t="s">
        <v>171</v>
      </c>
      <c r="R75" s="102" t="str">
        <f>TRIM(tbl_BasePowerBI[[#This Row],[NOMBRE EJECUTIVO]])</f>
        <v>Gina Tinjacá</v>
      </c>
      <c r="S75" s="102"/>
      <c r="T75" s="106"/>
      <c r="U75" s="106"/>
      <c r="V75" s="157"/>
      <c r="W75" s="169">
        <v>0</v>
      </c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>
        <v>78</v>
      </c>
      <c r="AK75" s="102"/>
      <c r="AN75" s="97" t="inlineStr">
        <is>
          <t>Salud</t>
        </is>
      </c>
    </row>
    <row r="76" spans="1:40" s="129" customFormat="1" ht="30" customHeight="1">
      <c r="A76" s="102" t="s">
        <v>3</v>
      </c>
      <c r="B76" s="102" t="s">
        <v>352</v>
      </c>
      <c r="C76" s="104" t="s">
        <v>99</v>
      </c>
      <c r="D76" s="136">
        <v>0</v>
      </c>
      <c r="E76" s="104" t="s">
        <v>354</v>
      </c>
      <c r="F76" s="102"/>
      <c r="G76" s="102"/>
      <c r="H76" s="103" t="s">
        <v>135</v>
      </c>
      <c r="I76" s="105">
        <v>0</v>
      </c>
      <c r="J76" s="102"/>
      <c r="K76" s="105"/>
      <c r="L76" s="102"/>
      <c r="M76" s="105"/>
      <c r="N76" s="102"/>
      <c r="O76" s="102" t="s">
        <v>182</v>
      </c>
      <c r="P76" s="102" t="str">
        <f t="shared" si="4"/>
        <v>N4|Por Mejorar</v>
      </c>
      <c r="Q76" s="102" t="s">
        <v>171</v>
      </c>
      <c r="R76" s="102" t="str">
        <f>TRIM(tbl_BasePowerBI[[#This Row],[NOMBRE EJECUTIVO]])</f>
        <v>Gina Tinjacá</v>
      </c>
      <c r="S76" s="102"/>
      <c r="T76" s="106"/>
      <c r="U76" s="106"/>
      <c r="V76" s="157"/>
      <c r="W76" s="169">
        <v>0</v>
      </c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>
        <v>79</v>
      </c>
      <c r="AK76" s="102"/>
      <c r="AL76" s="126"/>
      <c r="AN76" s="97" t="inlineStr">
        <is>
          <t>Entretenimiento</t>
        </is>
      </c>
    </row>
    <row r="77" spans="1:40" s="129" customFormat="1" ht="30" customHeight="1">
      <c r="A77" s="102" t="s">
        <v>3</v>
      </c>
      <c r="B77" s="102" t="s">
        <v>355</v>
      </c>
      <c r="C77" s="104" t="s">
        <v>356</v>
      </c>
      <c r="D77" s="136">
        <v>0</v>
      </c>
      <c r="E77" s="104" t="s">
        <v>357</v>
      </c>
      <c r="F77" s="102"/>
      <c r="G77" s="102"/>
      <c r="H77" s="103" t="s">
        <v>135</v>
      </c>
      <c r="I77" s="105">
        <v>0</v>
      </c>
      <c r="J77" s="102"/>
      <c r="K77" s="105"/>
      <c r="L77" s="102"/>
      <c r="M77" s="105"/>
      <c r="N77" s="102"/>
      <c r="O77" s="102" t="s">
        <v>182</v>
      </c>
      <c r="P77" s="102" t="str">
        <f t="shared" si="4"/>
        <v>N4|Por Mejorar</v>
      </c>
      <c r="Q77" s="102" t="s">
        <v>171</v>
      </c>
      <c r="R77" s="102" t="str">
        <f>TRIM(tbl_BasePowerBI[[#This Row],[NOMBRE EJECUTIVO]])</f>
        <v>Karen Perez</v>
      </c>
      <c r="S77" s="102"/>
      <c r="T77" s="106"/>
      <c r="U77" s="106"/>
      <c r="V77" s="157"/>
      <c r="W77" s="169">
        <v>0</v>
      </c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>
        <v>80</v>
      </c>
      <c r="AK77" s="102"/>
      <c r="AL77" s="126"/>
      <c r="AN77" s="97" t="inlineStr">
        <is>
          <t>Educación</t>
        </is>
      </c>
    </row>
    <row r="78" spans="1:40" s="129" customFormat="1" ht="30" customHeight="1">
      <c r="A78" s="102" t="s">
        <v>3</v>
      </c>
      <c r="B78" s="102" t="s">
        <v>358</v>
      </c>
      <c r="C78" s="104" t="s">
        <v>359</v>
      </c>
      <c r="D78" s="136">
        <v>0</v>
      </c>
      <c r="E78" s="104" t="s">
        <v>360</v>
      </c>
      <c r="F78" s="102"/>
      <c r="G78" s="102"/>
      <c r="H78" s="103" t="s">
        <v>135</v>
      </c>
      <c r="I78" s="105">
        <v>0</v>
      </c>
      <c r="J78" s="102"/>
      <c r="K78" s="105"/>
      <c r="L78" s="102"/>
      <c r="M78" s="105"/>
      <c r="N78" s="102"/>
      <c r="O78" s="102" t="s">
        <v>182</v>
      </c>
      <c r="P78" s="102" t="str">
        <f t="shared" si="4"/>
        <v>N4|Por Mejorar</v>
      </c>
      <c r="Q78" s="102" t="s">
        <v>171</v>
      </c>
      <c r="R78" s="102" t="str">
        <f>TRIM(tbl_BasePowerBI[[#This Row],[NOMBRE EJECUTIVO]])</f>
        <v>Valentina Párraga</v>
      </c>
      <c r="S78" s="102"/>
      <c r="T78" s="106"/>
      <c r="U78" s="106"/>
      <c r="V78" s="157"/>
      <c r="W78" s="169">
        <v>0</v>
      </c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>
        <v>81</v>
      </c>
      <c r="AK78" s="102"/>
      <c r="AN78" s="97" t="inlineStr">
        <is>
          <t>Salud</t>
        </is>
      </c>
    </row>
    <row r="79" spans="1:40" s="129" customFormat="1" ht="30" customHeight="1">
      <c r="A79" s="102" t="s">
        <v>3</v>
      </c>
      <c r="B79" s="102" t="s">
        <v>358</v>
      </c>
      <c r="C79" s="104" t="s">
        <v>361</v>
      </c>
      <c r="D79" s="136">
        <v>0</v>
      </c>
      <c r="E79" s="104" t="s">
        <v>362</v>
      </c>
      <c r="F79" s="102"/>
      <c r="G79" s="102"/>
      <c r="H79" s="103" t="s">
        <v>135</v>
      </c>
      <c r="I79" s="105">
        <v>0</v>
      </c>
      <c r="J79" s="102"/>
      <c r="K79" s="105"/>
      <c r="L79" s="102"/>
      <c r="M79" s="105"/>
      <c r="N79" s="102"/>
      <c r="O79" s="102" t="s">
        <v>182</v>
      </c>
      <c r="P79" s="102" t="str">
        <f t="shared" si="4"/>
        <v>N4|Por Mejorar</v>
      </c>
      <c r="Q79" s="102" t="s">
        <v>171</v>
      </c>
      <c r="R79" s="102" t="str">
        <f>TRIM(tbl_BasePowerBI[[#This Row],[NOMBRE EJECUTIVO]])</f>
        <v>Valentina Párraga</v>
      </c>
      <c r="S79" s="102"/>
      <c r="T79" s="106"/>
      <c r="U79" s="106"/>
      <c r="V79" s="157"/>
      <c r="W79" s="169">
        <v>0</v>
      </c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>
        <v>84</v>
      </c>
      <c r="AK79" s="102"/>
      <c r="AN79" s="97" t="inlineStr">
        <is>
          <t>Salud</t>
        </is>
      </c>
    </row>
    <row r="80" spans="1:40" s="129" customFormat="1" ht="30" customHeight="1">
      <c r="A80" s="102" t="s">
        <v>3</v>
      </c>
      <c r="B80" s="102" t="s">
        <v>363</v>
      </c>
      <c r="C80" s="104" t="s">
        <v>364</v>
      </c>
      <c r="D80" s="136">
        <v>0</v>
      </c>
      <c r="E80" s="104" t="s">
        <v>365</v>
      </c>
      <c r="F80" s="102"/>
      <c r="G80" s="102"/>
      <c r="H80" s="103" t="s">
        <v>135</v>
      </c>
      <c r="I80" s="105">
        <v>0</v>
      </c>
      <c r="J80" s="102"/>
      <c r="K80" s="105"/>
      <c r="L80" s="102"/>
      <c r="M80" s="105"/>
      <c r="N80" s="102"/>
      <c r="O80" s="102" t="s">
        <v>182</v>
      </c>
      <c r="P80" s="102" t="str">
        <f t="shared" si="4"/>
        <v>N4|Por Mejorar</v>
      </c>
      <c r="Q80" s="102" t="s">
        <v>171</v>
      </c>
      <c r="R80" s="102" t="str">
        <f>TRIM(tbl_BasePowerBI[[#This Row],[NOMBRE EJECUTIVO]])</f>
        <v>Mauricio Agudelo</v>
      </c>
      <c r="S80" s="102"/>
      <c r="T80" s="106"/>
      <c r="U80" s="106"/>
      <c r="V80" s="157"/>
      <c r="W80" s="169">
        <v>0</v>
      </c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>
        <v>85</v>
      </c>
      <c r="AK80" s="102"/>
      <c r="AN80" s="97" t="inlineStr">
        <is>
          <t>Consumo Masivo</t>
        </is>
      </c>
    </row>
    <row r="81" spans="1:40" s="129" customFormat="1" ht="30" customHeight="1">
      <c r="A81" s="102" t="s">
        <v>3</v>
      </c>
      <c r="B81" s="102" t="s">
        <v>363</v>
      </c>
      <c r="C81" s="104" t="s">
        <v>366</v>
      </c>
      <c r="D81" s="136">
        <v>0</v>
      </c>
      <c r="E81" s="104" t="s">
        <v>367</v>
      </c>
      <c r="F81" s="102"/>
      <c r="G81" s="102"/>
      <c r="H81" s="103" t="s">
        <v>135</v>
      </c>
      <c r="I81" s="105">
        <v>0</v>
      </c>
      <c r="J81" s="102"/>
      <c r="K81" s="105"/>
      <c r="L81" s="102"/>
      <c r="M81" s="105"/>
      <c r="N81" s="102"/>
      <c r="O81" s="102" t="s">
        <v>182</v>
      </c>
      <c r="P81" s="102" t="str">
        <f t="shared" si="4"/>
        <v>N4|Por Mejorar</v>
      </c>
      <c r="Q81" s="102" t="s">
        <v>171</v>
      </c>
      <c r="R81" s="102" t="str">
        <f>TRIM(tbl_BasePowerBI[[#This Row],[NOMBRE EJECUTIVO]])</f>
        <v>Mauricio Agudelo</v>
      </c>
      <c r="S81" s="102"/>
      <c r="T81" s="106"/>
      <c r="U81" s="106"/>
      <c r="V81" s="157"/>
      <c r="W81" s="169">
        <v>0</v>
      </c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>
        <v>86</v>
      </c>
      <c r="AK81" s="102"/>
      <c r="AN81" s="97" t="inlineStr">
        <is>
          <t>Salud</t>
        </is>
      </c>
    </row>
    <row r="82" spans="1:40" s="129" customFormat="1" ht="30" customHeight="1">
      <c r="A82" s="102" t="s">
        <v>3</v>
      </c>
      <c r="B82" s="102" t="s">
        <v>352</v>
      </c>
      <c r="C82" s="104" t="s">
        <v>98</v>
      </c>
      <c r="D82" s="136">
        <v>0</v>
      </c>
      <c r="E82" s="104" t="s">
        <v>368</v>
      </c>
      <c r="F82" s="102"/>
      <c r="G82" s="102"/>
      <c r="H82" s="103" t="s">
        <v>135</v>
      </c>
      <c r="I82" s="105">
        <v>0</v>
      </c>
      <c r="J82" s="102"/>
      <c r="K82" s="105"/>
      <c r="L82" s="102"/>
      <c r="M82" s="105"/>
      <c r="N82" s="102"/>
      <c r="O82" s="102" t="s">
        <v>182</v>
      </c>
      <c r="P82" s="102" t="str">
        <f t="shared" si="4"/>
        <v>N4|Por Mejorar</v>
      </c>
      <c r="Q82" s="102" t="s">
        <v>171</v>
      </c>
      <c r="R82" s="102" t="str">
        <f>TRIM(tbl_BasePowerBI[[#This Row],[NOMBRE EJECUTIVO]])</f>
        <v>Gina Tinjacá</v>
      </c>
      <c r="S82" s="102"/>
      <c r="T82" s="106"/>
      <c r="U82" s="106"/>
      <c r="V82" s="157"/>
      <c r="W82" s="169">
        <v>0</v>
      </c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>
        <v>87</v>
      </c>
      <c r="AK82" s="102"/>
      <c r="AN82" s="97" t="inlineStr">
        <is>
          <t>Inmobiliario</t>
        </is>
      </c>
    </row>
    <row r="83" spans="1:40" s="129" customFormat="1" ht="30" customHeight="1">
      <c r="A83" s="102" t="s">
        <v>3</v>
      </c>
      <c r="B83" s="102" t="s">
        <v>358</v>
      </c>
      <c r="C83" s="104" t="s">
        <v>369</v>
      </c>
      <c r="D83" s="136">
        <v>0</v>
      </c>
      <c r="E83" s="104" t="s">
        <v>370</v>
      </c>
      <c r="F83" s="102"/>
      <c r="G83" s="102"/>
      <c r="H83" s="103" t="s">
        <v>135</v>
      </c>
      <c r="I83" s="105">
        <v>0</v>
      </c>
      <c r="J83" s="102"/>
      <c r="K83" s="105"/>
      <c r="L83" s="102"/>
      <c r="M83" s="105"/>
      <c r="N83" s="102"/>
      <c r="O83" s="102" t="s">
        <v>182</v>
      </c>
      <c r="P83" s="102" t="str">
        <f t="shared" si="4"/>
        <v>N4|Por Mejorar</v>
      </c>
      <c r="Q83" s="102" t="s">
        <v>171</v>
      </c>
      <c r="R83" s="102" t="str">
        <f>TRIM(tbl_BasePowerBI[[#This Row],[NOMBRE EJECUTIVO]])</f>
        <v>Valentina Párraga</v>
      </c>
      <c r="S83" s="102"/>
      <c r="T83" s="106"/>
      <c r="U83" s="106"/>
      <c r="V83" s="157"/>
      <c r="W83" s="169">
        <v>0</v>
      </c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>
        <v>88</v>
      </c>
      <c r="AK83" s="102"/>
      <c r="AN83" s="97" t="inlineStr">
        <is>
          <t>Banca</t>
        </is>
      </c>
    </row>
    <row r="84" spans="1:40" s="129" customFormat="1" ht="51.75" customHeight="1">
      <c r="A84" s="113" t="s">
        <v>3</v>
      </c>
      <c r="B84" s="113" t="s">
        <v>371</v>
      </c>
      <c r="C84" s="113" t="s">
        <v>372</v>
      </c>
      <c r="D84" s="138">
        <v>200000000</v>
      </c>
      <c r="E84" s="113" t="s">
        <v>373</v>
      </c>
      <c r="F84" s="113"/>
      <c r="G84" s="113"/>
      <c r="H84" s="119" t="s">
        <v>135</v>
      </c>
      <c r="I84" s="114">
        <v>100</v>
      </c>
      <c r="J84" s="113" t="s">
        <v>136</v>
      </c>
      <c r="K84" s="114">
        <v>100</v>
      </c>
      <c r="L84" s="117" t="s">
        <v>137</v>
      </c>
      <c r="M84" s="114">
        <v>100</v>
      </c>
      <c r="N84" s="113"/>
      <c r="O84" s="113" t="s">
        <v>229</v>
      </c>
      <c r="P84" s="113" t="str">
        <f t="shared" si="4"/>
        <v>N4|Cerrada</v>
      </c>
      <c r="Q84" s="113" t="s">
        <v>139</v>
      </c>
      <c r="R84" s="113" t="str">
        <f>TRIM(tbl_BasePowerBI[[#This Row],[NOMBRE EJECUTIVO]])</f>
        <v>Luis López</v>
      </c>
      <c r="S84" s="113" t="s">
        <v>140</v>
      </c>
      <c r="T84" s="115">
        <v>46189</v>
      </c>
      <c r="U84" s="115">
        <v>46213</v>
      </c>
      <c r="V84" s="160" t="s">
        <v>374</v>
      </c>
      <c r="W84" s="171">
        <v>200000000</v>
      </c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>
        <v>89</v>
      </c>
      <c r="AK84" s="102" t="s">
        <v>178</v>
      </c>
      <c r="AM84" s="131">
        <f>SUM(tbl_BasePowerBI[[#This Row],[VALOR DE LA PROPUESTA]]+W110)</f>
        <v>248000000</v>
      </c>
      <c r="AN84" s="97" t="inlineStr">
        <is>
          <t>Salud</t>
        </is>
      </c>
    </row>
    <row r="85" spans="1:40" s="129" customFormat="1" ht="30" customHeight="1">
      <c r="A85" s="102" t="s">
        <v>3</v>
      </c>
      <c r="B85" s="102" t="s">
        <v>352</v>
      </c>
      <c r="C85" s="118" t="s">
        <v>14</v>
      </c>
      <c r="D85" s="136">
        <v>0</v>
      </c>
      <c r="E85" s="102"/>
      <c r="F85" s="102"/>
      <c r="G85" s="102"/>
      <c r="H85" s="147" t="s">
        <v>135</v>
      </c>
      <c r="I85" s="105"/>
      <c r="J85" s="102"/>
      <c r="K85" s="105"/>
      <c r="L85" s="102"/>
      <c r="M85" s="105"/>
      <c r="N85" s="102"/>
      <c r="O85" s="102" t="s">
        <v>182</v>
      </c>
      <c r="P85" s="102" t="str">
        <f t="shared" si="4"/>
        <v>N4|Por Mejorar</v>
      </c>
      <c r="Q85" s="102" t="s">
        <v>171</v>
      </c>
      <c r="R85" s="102" t="str">
        <f>TRIM(tbl_BasePowerBI[[#This Row],[NOMBRE EJECUTIVO]])</f>
        <v>Gina Tinjacá</v>
      </c>
      <c r="S85" s="102"/>
      <c r="T85" s="106"/>
      <c r="U85" s="106"/>
      <c r="V85" s="157"/>
      <c r="W85" s="169">
        <v>0</v>
      </c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>
        <v>90</v>
      </c>
      <c r="AK85" s="102"/>
      <c r="AN85" s="97" t="inlineStr">
        <is>
          <t>Automotriz</t>
        </is>
      </c>
    </row>
    <row r="86" spans="1:40" s="129" customFormat="1" ht="30" customHeight="1">
      <c r="A86" s="102" t="s">
        <v>3</v>
      </c>
      <c r="B86" s="102" t="s">
        <v>352</v>
      </c>
      <c r="C86" s="118" t="s">
        <v>20</v>
      </c>
      <c r="D86" s="136">
        <v>0</v>
      </c>
      <c r="E86" s="102"/>
      <c r="F86" s="102"/>
      <c r="G86" s="102"/>
      <c r="H86" s="147" t="s">
        <v>135</v>
      </c>
      <c r="I86" s="105"/>
      <c r="J86" s="102"/>
      <c r="K86" s="105"/>
      <c r="L86" s="102"/>
      <c r="M86" s="105"/>
      <c r="N86" s="102"/>
      <c r="O86" s="102" t="s">
        <v>182</v>
      </c>
      <c r="P86" s="102" t="str">
        <f t="shared" si="4"/>
        <v>N4|Por Mejorar</v>
      </c>
      <c r="Q86" s="102" t="s">
        <v>171</v>
      </c>
      <c r="R86" s="102" t="str">
        <f>TRIM(tbl_BasePowerBI[[#This Row],[NOMBRE EJECUTIVO]])</f>
        <v>Gina Tinjacá</v>
      </c>
      <c r="S86" s="102"/>
      <c r="T86" s="106"/>
      <c r="U86" s="106"/>
      <c r="V86" s="157"/>
      <c r="W86" s="169">
        <v>0</v>
      </c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>
        <v>91</v>
      </c>
      <c r="AK86" s="102"/>
      <c r="AN86" s="97" t="inlineStr">
        <is>
          <t>Seguros</t>
        </is>
      </c>
    </row>
    <row r="87" spans="1:40" s="129" customFormat="1" ht="30" customHeight="1">
      <c r="A87" s="102" t="s">
        <v>3</v>
      </c>
      <c r="B87" s="102" t="s">
        <v>352</v>
      </c>
      <c r="C87" s="118" t="s">
        <v>26</v>
      </c>
      <c r="D87" s="136">
        <v>0</v>
      </c>
      <c r="E87" s="102" t="s">
        <v>375</v>
      </c>
      <c r="F87" s="102"/>
      <c r="G87" s="102"/>
      <c r="H87" s="147" t="s">
        <v>135</v>
      </c>
      <c r="I87" s="105">
        <v>100</v>
      </c>
      <c r="J87" s="102" t="s">
        <v>376</v>
      </c>
      <c r="K87" s="105"/>
      <c r="L87" s="102"/>
      <c r="M87" s="105"/>
      <c r="N87" s="102"/>
      <c r="O87" s="102" t="s">
        <v>182</v>
      </c>
      <c r="P87" s="102" t="str">
        <f t="shared" si="4"/>
        <v>N4|Por Mejorar</v>
      </c>
      <c r="Q87" s="102" t="s">
        <v>171</v>
      </c>
      <c r="R87" s="102" t="str">
        <f>TRIM(tbl_BasePowerBI[[#This Row],[NOMBRE EJECUTIVO]])</f>
        <v>Gina Tinjacá</v>
      </c>
      <c r="S87" s="102"/>
      <c r="T87" s="106"/>
      <c r="U87" s="106"/>
      <c r="V87" s="157"/>
      <c r="W87" s="169">
        <v>0</v>
      </c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>
        <v>92</v>
      </c>
      <c r="AK87" s="102"/>
      <c r="AN87" s="97" t="inlineStr">
        <is>
          <t>Automotriz</t>
        </is>
      </c>
    </row>
    <row r="88" spans="1:40" s="129" customFormat="1" ht="30" customHeight="1">
      <c r="A88" s="102" t="s">
        <v>3</v>
      </c>
      <c r="B88" s="102" t="s">
        <v>352</v>
      </c>
      <c r="C88" s="118" t="s">
        <v>32</v>
      </c>
      <c r="D88" s="136">
        <v>0</v>
      </c>
      <c r="E88" s="102"/>
      <c r="F88" s="102"/>
      <c r="G88" s="102"/>
      <c r="H88" s="147" t="s">
        <v>135</v>
      </c>
      <c r="I88" s="105"/>
      <c r="J88" s="102"/>
      <c r="K88" s="105"/>
      <c r="L88" s="102"/>
      <c r="M88" s="105"/>
      <c r="N88" s="102"/>
      <c r="O88" s="102" t="s">
        <v>182</v>
      </c>
      <c r="P88" s="102" t="str">
        <f t="shared" si="4"/>
        <v>N4|Por Mejorar</v>
      </c>
      <c r="Q88" s="102" t="s">
        <v>171</v>
      </c>
      <c r="R88" s="102" t="str">
        <f>TRIM(tbl_BasePowerBI[[#This Row],[NOMBRE EJECUTIVO]])</f>
        <v>Gina Tinjacá</v>
      </c>
      <c r="S88" s="102"/>
      <c r="T88" s="106"/>
      <c r="U88" s="106"/>
      <c r="V88" s="157"/>
      <c r="W88" s="169">
        <v>0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>
        <v>93</v>
      </c>
      <c r="AK88" s="102"/>
      <c r="AN88" s="97" t="inlineStr">
        <is>
          <t>Banca</t>
        </is>
      </c>
    </row>
    <row r="89" spans="1:40" s="129" customFormat="1" ht="30" customHeight="1">
      <c r="A89" s="102" t="s">
        <v>3</v>
      </c>
      <c r="B89" s="102" t="s">
        <v>352</v>
      </c>
      <c r="C89" s="118" t="s">
        <v>39</v>
      </c>
      <c r="D89" s="136">
        <v>0</v>
      </c>
      <c r="E89" s="102"/>
      <c r="F89" s="102"/>
      <c r="G89" s="102"/>
      <c r="H89" s="147" t="s">
        <v>135</v>
      </c>
      <c r="I89" s="105"/>
      <c r="J89" s="102"/>
      <c r="K89" s="105"/>
      <c r="L89" s="102"/>
      <c r="M89" s="105"/>
      <c r="N89" s="102"/>
      <c r="O89" s="102" t="s">
        <v>182</v>
      </c>
      <c r="P89" s="102" t="str">
        <f t="shared" si="4"/>
        <v>N4|Por Mejorar</v>
      </c>
      <c r="Q89" s="102" t="s">
        <v>171</v>
      </c>
      <c r="R89" s="102" t="str">
        <f>TRIM(tbl_BasePowerBI[[#This Row],[NOMBRE EJECUTIVO]])</f>
        <v>Gina Tinjacá</v>
      </c>
      <c r="S89" s="102"/>
      <c r="T89" s="106"/>
      <c r="U89" s="106"/>
      <c r="V89" s="157"/>
      <c r="W89" s="169">
        <v>0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>
        <v>94</v>
      </c>
      <c r="AK89" s="102"/>
      <c r="AN89" s="97" t="inlineStr">
        <is>
          <t>Consumo Masivo</t>
        </is>
      </c>
    </row>
    <row r="90" spans="1:40" s="129" customFormat="1" ht="30" customHeight="1">
      <c r="A90" s="102" t="s">
        <v>3</v>
      </c>
      <c r="B90" s="102" t="s">
        <v>352</v>
      </c>
      <c r="C90" s="118" t="s">
        <v>45</v>
      </c>
      <c r="D90" s="136">
        <v>0</v>
      </c>
      <c r="E90" s="102"/>
      <c r="F90" s="102"/>
      <c r="G90" s="102"/>
      <c r="H90" s="147" t="s">
        <v>135</v>
      </c>
      <c r="I90" s="105"/>
      <c r="J90" s="102"/>
      <c r="K90" s="105"/>
      <c r="L90" s="102"/>
      <c r="M90" s="105"/>
      <c r="N90" s="102"/>
      <c r="O90" s="102" t="s">
        <v>182</v>
      </c>
      <c r="P90" s="102" t="str">
        <f t="shared" si="4"/>
        <v>N4|Por Mejorar</v>
      </c>
      <c r="Q90" s="102" t="s">
        <v>171</v>
      </c>
      <c r="R90" s="102" t="str">
        <f>TRIM(tbl_BasePowerBI[[#This Row],[NOMBRE EJECUTIVO]])</f>
        <v>Gina Tinjacá</v>
      </c>
      <c r="S90" s="102"/>
      <c r="T90" s="106"/>
      <c r="U90" s="106"/>
      <c r="V90" s="157"/>
      <c r="W90" s="169">
        <v>0</v>
      </c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>
        <v>95</v>
      </c>
      <c r="AK90" s="102"/>
      <c r="AL90" s="126"/>
      <c r="AN90" s="97" t="inlineStr">
        <is>
          <t>Consumo Masivo</t>
        </is>
      </c>
    </row>
    <row r="91" spans="1:40" s="129" customFormat="1" ht="30" customHeight="1">
      <c r="A91" s="102" t="s">
        <v>3</v>
      </c>
      <c r="B91" s="102" t="s">
        <v>352</v>
      </c>
      <c r="C91" s="118" t="s">
        <v>52</v>
      </c>
      <c r="D91" s="136">
        <v>0</v>
      </c>
      <c r="E91" s="102"/>
      <c r="F91" s="102"/>
      <c r="G91" s="102"/>
      <c r="H91" s="147" t="s">
        <v>135</v>
      </c>
      <c r="I91" s="105"/>
      <c r="J91" s="102"/>
      <c r="K91" s="105"/>
      <c r="L91" s="102"/>
      <c r="M91" s="105"/>
      <c r="N91" s="102"/>
      <c r="O91" s="102" t="s">
        <v>182</v>
      </c>
      <c r="P91" s="102" t="str">
        <f t="shared" si="4"/>
        <v>N4|Por Mejorar</v>
      </c>
      <c r="Q91" s="102" t="s">
        <v>171</v>
      </c>
      <c r="R91" s="102" t="str">
        <f>TRIM(tbl_BasePowerBI[[#This Row],[NOMBRE EJECUTIVO]])</f>
        <v>Gina Tinjacá</v>
      </c>
      <c r="S91" s="102"/>
      <c r="T91" s="106"/>
      <c r="U91" s="106"/>
      <c r="V91" s="157"/>
      <c r="W91" s="169">
        <v>0</v>
      </c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>
        <v>96</v>
      </c>
      <c r="AK91" s="102"/>
      <c r="AN91" s="97" t="inlineStr">
        <is>
          <t>Automotriz</t>
        </is>
      </c>
    </row>
    <row r="92" spans="1:40" s="129" customFormat="1" ht="30" customHeight="1">
      <c r="A92" s="102" t="s">
        <v>3</v>
      </c>
      <c r="B92" s="102" t="s">
        <v>352</v>
      </c>
      <c r="C92" s="118" t="s">
        <v>58</v>
      </c>
      <c r="D92" s="136">
        <v>0</v>
      </c>
      <c r="E92" s="102"/>
      <c r="F92" s="102"/>
      <c r="G92" s="102"/>
      <c r="H92" s="147" t="s">
        <v>135</v>
      </c>
      <c r="I92" s="105"/>
      <c r="J92" s="102"/>
      <c r="K92" s="105"/>
      <c r="L92" s="102"/>
      <c r="M92" s="105"/>
      <c r="N92" s="102"/>
      <c r="O92" s="102" t="s">
        <v>182</v>
      </c>
      <c r="P92" s="102" t="str">
        <f t="shared" si="4"/>
        <v>N4|Por Mejorar</v>
      </c>
      <c r="Q92" s="102" t="s">
        <v>171</v>
      </c>
      <c r="R92" s="102" t="str">
        <f>TRIM(tbl_BasePowerBI[[#This Row],[NOMBRE EJECUTIVO]])</f>
        <v>Gina Tinjacá</v>
      </c>
      <c r="S92" s="102"/>
      <c r="T92" s="106"/>
      <c r="U92" s="106"/>
      <c r="V92" s="157"/>
      <c r="W92" s="169">
        <v>0</v>
      </c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>
        <v>97</v>
      </c>
      <c r="AK92" s="102"/>
      <c r="AL92" s="126"/>
      <c r="AN92" s="97" t="inlineStr">
        <is>
          <t>Tecnología</t>
        </is>
      </c>
    </row>
    <row r="93" spans="1:40" s="129" customFormat="1" ht="30" customHeight="1">
      <c r="A93" s="102" t="s">
        <v>3</v>
      </c>
      <c r="B93" s="102" t="s">
        <v>352</v>
      </c>
      <c r="C93" s="118" t="s">
        <v>63</v>
      </c>
      <c r="D93" s="136">
        <v>0</v>
      </c>
      <c r="E93" s="102"/>
      <c r="F93" s="102"/>
      <c r="G93" s="102"/>
      <c r="H93" s="147" t="s">
        <v>135</v>
      </c>
      <c r="I93" s="105"/>
      <c r="J93" s="102"/>
      <c r="K93" s="105"/>
      <c r="L93" s="102"/>
      <c r="M93" s="105"/>
      <c r="N93" s="102"/>
      <c r="O93" s="102" t="s">
        <v>182</v>
      </c>
      <c r="P93" s="102" t="str">
        <f t="shared" si="4"/>
        <v>N4|Por Mejorar</v>
      </c>
      <c r="Q93" s="102" t="s">
        <v>171</v>
      </c>
      <c r="R93" s="102" t="str">
        <f>TRIM(tbl_BasePowerBI[[#This Row],[NOMBRE EJECUTIVO]])</f>
        <v>Gina Tinjacá</v>
      </c>
      <c r="S93" s="102"/>
      <c r="T93" s="106"/>
      <c r="U93" s="106"/>
      <c r="V93" s="157"/>
      <c r="W93" s="169">
        <v>0</v>
      </c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>
        <v>98</v>
      </c>
      <c r="AK93" s="102"/>
      <c r="AL93" s="126"/>
      <c r="AN93" s="97" t="inlineStr">
        <is>
          <t>Salud</t>
        </is>
      </c>
    </row>
    <row r="94" spans="1:40" s="129" customFormat="1" ht="30" customHeight="1">
      <c r="A94" s="102" t="s">
        <v>3</v>
      </c>
      <c r="B94" s="102" t="s">
        <v>352</v>
      </c>
      <c r="C94" s="118" t="s">
        <v>66</v>
      </c>
      <c r="D94" s="136">
        <v>0</v>
      </c>
      <c r="E94" s="102"/>
      <c r="F94" s="102"/>
      <c r="G94" s="102"/>
      <c r="H94" s="147" t="s">
        <v>135</v>
      </c>
      <c r="I94" s="105"/>
      <c r="J94" s="102"/>
      <c r="K94" s="105"/>
      <c r="L94" s="102"/>
      <c r="M94" s="105"/>
      <c r="N94" s="102"/>
      <c r="O94" s="102" t="s">
        <v>182</v>
      </c>
      <c r="P94" s="102" t="str">
        <f t="shared" si="4"/>
        <v>N4|Por Mejorar</v>
      </c>
      <c r="Q94" s="102" t="s">
        <v>171</v>
      </c>
      <c r="R94" s="102" t="str">
        <f>TRIM(tbl_BasePowerBI[[#This Row],[NOMBRE EJECUTIVO]])</f>
        <v>Gina Tinjacá</v>
      </c>
      <c r="S94" s="102"/>
      <c r="T94" s="106"/>
      <c r="U94" s="106"/>
      <c r="V94" s="157"/>
      <c r="W94" s="169">
        <v>0</v>
      </c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>
        <v>99</v>
      </c>
      <c r="AK94" s="102"/>
      <c r="AN94" s="97" t="inlineStr">
        <is>
          <t>Banca</t>
        </is>
      </c>
    </row>
    <row r="95" spans="1:40" s="129" customFormat="1" ht="30" customHeight="1">
      <c r="A95" s="102" t="s">
        <v>3</v>
      </c>
      <c r="B95" s="102" t="s">
        <v>352</v>
      </c>
      <c r="C95" s="118" t="s">
        <v>69</v>
      </c>
      <c r="D95" s="136">
        <v>0</v>
      </c>
      <c r="E95" s="102"/>
      <c r="F95" s="102"/>
      <c r="G95" s="102"/>
      <c r="H95" s="147" t="s">
        <v>135</v>
      </c>
      <c r="I95" s="105"/>
      <c r="J95" s="102"/>
      <c r="K95" s="105"/>
      <c r="L95" s="102"/>
      <c r="M95" s="105"/>
      <c r="N95" s="102"/>
      <c r="O95" s="102" t="s">
        <v>182</v>
      </c>
      <c r="P95" s="102" t="str">
        <f t="shared" si="4"/>
        <v>N4|Por Mejorar</v>
      </c>
      <c r="Q95" s="102" t="s">
        <v>171</v>
      </c>
      <c r="R95" s="102" t="str">
        <f>TRIM(tbl_BasePowerBI[[#This Row],[NOMBRE EJECUTIVO]])</f>
        <v>Gina Tinjacá</v>
      </c>
      <c r="S95" s="102"/>
      <c r="T95" s="106"/>
      <c r="U95" s="106"/>
      <c r="V95" s="157"/>
      <c r="W95" s="169">
        <v>0</v>
      </c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>
        <v>100</v>
      </c>
      <c r="AK95" s="102"/>
      <c r="AN95" s="97" t="inlineStr">
        <is>
          <t>Otros</t>
        </is>
      </c>
    </row>
    <row r="96" spans="1:40" s="129" customFormat="1" ht="30" customHeight="1">
      <c r="A96" s="102" t="s">
        <v>3</v>
      </c>
      <c r="B96" s="102" t="s">
        <v>352</v>
      </c>
      <c r="C96" s="118" t="s">
        <v>72</v>
      </c>
      <c r="D96" s="136">
        <v>0</v>
      </c>
      <c r="E96" s="102"/>
      <c r="F96" s="102"/>
      <c r="G96" s="102"/>
      <c r="H96" s="147" t="s">
        <v>135</v>
      </c>
      <c r="I96" s="105"/>
      <c r="J96" s="102"/>
      <c r="K96" s="105"/>
      <c r="L96" s="102"/>
      <c r="M96" s="105"/>
      <c r="N96" s="102"/>
      <c r="O96" s="102" t="s">
        <v>182</v>
      </c>
      <c r="P96" s="102" t="str">
        <f t="shared" si="4"/>
        <v>N4|Por Mejorar</v>
      </c>
      <c r="Q96" s="102" t="s">
        <v>171</v>
      </c>
      <c r="R96" s="102" t="str">
        <f>TRIM(tbl_BasePowerBI[[#This Row],[NOMBRE EJECUTIVO]])</f>
        <v>Gina Tinjacá</v>
      </c>
      <c r="S96" s="102"/>
      <c r="T96" s="106"/>
      <c r="U96" s="106"/>
      <c r="V96" s="157"/>
      <c r="W96" s="169">
        <v>0</v>
      </c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>
        <v>101</v>
      </c>
      <c r="AK96" s="102"/>
      <c r="AN96" s="97" t="inlineStr">
        <is>
          <t>Moda</t>
        </is>
      </c>
    </row>
    <row r="97" spans="1:40" s="129" customFormat="1" ht="30" customHeight="1">
      <c r="A97" s="98" t="s">
        <v>3</v>
      </c>
      <c r="B97" s="98" t="s">
        <v>352</v>
      </c>
      <c r="C97" s="227" t="s">
        <v>76</v>
      </c>
      <c r="D97" s="136">
        <v>171075000</v>
      </c>
      <c r="E97" s="140" t="s">
        <v>377</v>
      </c>
      <c r="F97" s="98">
        <v>100</v>
      </c>
      <c r="G97" s="98">
        <v>100</v>
      </c>
      <c r="H97" s="98" t="s">
        <v>378</v>
      </c>
      <c r="I97" s="99">
        <v>50</v>
      </c>
      <c r="J97" s="98"/>
      <c r="K97" s="99">
        <v>50</v>
      </c>
      <c r="L97" s="98"/>
      <c r="M97" s="99">
        <v>50</v>
      </c>
      <c r="N97" s="98"/>
      <c r="O97" s="98" t="s">
        <v>138</v>
      </c>
      <c r="P97" s="98" t="str">
        <f t="shared" si="4"/>
        <v>N4|En seguimiento</v>
      </c>
      <c r="Q97" s="98" t="s">
        <v>171</v>
      </c>
      <c r="R97" s="98" t="str">
        <f>TRIM(tbl_BasePowerBI[[#This Row],[NOMBRE EJECUTIVO]])</f>
        <v>Gina Tinjacá</v>
      </c>
      <c r="S97" s="98" t="s">
        <v>196</v>
      </c>
      <c r="T97" s="100">
        <v>46280</v>
      </c>
      <c r="U97" s="100">
        <v>46286</v>
      </c>
      <c r="V97" s="226" t="s">
        <v>379</v>
      </c>
      <c r="W97" s="136">
        <v>171075000</v>
      </c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>
        <v>102</v>
      </c>
      <c r="AK97" s="98" t="s">
        <v>198</v>
      </c>
      <c r="AN97" s="97" t="inlineStr">
        <is>
          <t>Automotriz</t>
        </is>
      </c>
    </row>
    <row r="98" spans="1:40" s="129" customFormat="1" ht="30" customHeight="1">
      <c r="A98" s="102" t="s">
        <v>3</v>
      </c>
      <c r="B98" s="102" t="s">
        <v>352</v>
      </c>
      <c r="C98" s="118" t="s">
        <v>78</v>
      </c>
      <c r="D98" s="136">
        <v>0</v>
      </c>
      <c r="E98" s="102"/>
      <c r="F98" s="102"/>
      <c r="G98" s="102"/>
      <c r="H98" s="147" t="s">
        <v>135</v>
      </c>
      <c r="I98" s="105"/>
      <c r="J98" s="102"/>
      <c r="K98" s="105"/>
      <c r="L98" s="102"/>
      <c r="M98" s="105"/>
      <c r="N98" s="102"/>
      <c r="O98" s="98"/>
      <c r="P98" s="102" t="str">
        <f t="shared" ref="P98:P129" si="5">A98&amp;"|"&amp;O98</f>
        <v>N4|</v>
      </c>
      <c r="Q98" s="102" t="s">
        <v>171</v>
      </c>
      <c r="R98" s="102" t="str">
        <f>TRIM(tbl_BasePowerBI[[#This Row],[NOMBRE EJECUTIVO]])</f>
        <v>Gina Tinjacá</v>
      </c>
      <c r="S98" s="102"/>
      <c r="T98" s="106"/>
      <c r="U98" s="106"/>
      <c r="V98" s="157"/>
      <c r="W98" s="169">
        <v>0</v>
      </c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>
        <v>103</v>
      </c>
      <c r="AK98" s="102"/>
      <c r="AN98" s="97" t="inlineStr">
        <is>
          <t>Tecnología</t>
        </is>
      </c>
    </row>
    <row r="99" spans="1:40" s="129" customFormat="1" ht="30" customHeight="1">
      <c r="A99" s="98" t="s">
        <v>3</v>
      </c>
      <c r="B99" s="98" t="s">
        <v>352</v>
      </c>
      <c r="C99" s="227" t="s">
        <v>80</v>
      </c>
      <c r="D99" s="136">
        <v>15880000</v>
      </c>
      <c r="E99" s="140" t="s">
        <v>380</v>
      </c>
      <c r="F99" s="98">
        <v>100</v>
      </c>
      <c r="G99" s="98">
        <v>100</v>
      </c>
      <c r="H99" s="98" t="s">
        <v>378</v>
      </c>
      <c r="I99" s="99">
        <v>50</v>
      </c>
      <c r="J99" s="98"/>
      <c r="K99" s="99">
        <v>50</v>
      </c>
      <c r="L99" s="98"/>
      <c r="M99" s="99">
        <v>50</v>
      </c>
      <c r="N99" s="98"/>
      <c r="O99" s="98" t="s">
        <v>138</v>
      </c>
      <c r="P99" s="98" t="str">
        <f t="shared" si="5"/>
        <v>N4|En seguimiento</v>
      </c>
      <c r="Q99" s="98" t="s">
        <v>171</v>
      </c>
      <c r="R99" s="98" t="str">
        <f>TRIM(tbl_BasePowerBI[[#This Row],[NOMBRE EJECUTIVO]])</f>
        <v>Gina Tinjacá</v>
      </c>
      <c r="S99" s="98" t="s">
        <v>196</v>
      </c>
      <c r="T99" s="100">
        <v>46280</v>
      </c>
      <c r="U99" s="100">
        <v>46280</v>
      </c>
      <c r="V99" s="226" t="s">
        <v>381</v>
      </c>
      <c r="W99" s="136">
        <v>15880000</v>
      </c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>
        <v>104</v>
      </c>
      <c r="AK99" s="98" t="s">
        <v>198</v>
      </c>
      <c r="AN99" s="97" t="inlineStr">
        <is>
          <t>Tecnología</t>
        </is>
      </c>
    </row>
    <row r="100" spans="1:40" s="129" customFormat="1" ht="30" customHeight="1">
      <c r="A100" s="102" t="s">
        <v>3</v>
      </c>
      <c r="B100" s="102" t="s">
        <v>352</v>
      </c>
      <c r="C100" s="118" t="s">
        <v>82</v>
      </c>
      <c r="D100" s="136">
        <v>0</v>
      </c>
      <c r="E100" s="102"/>
      <c r="F100" s="102"/>
      <c r="G100" s="102"/>
      <c r="H100" s="147" t="s">
        <v>135</v>
      </c>
      <c r="I100" s="105"/>
      <c r="J100" s="102"/>
      <c r="K100" s="105"/>
      <c r="L100" s="102"/>
      <c r="M100" s="105"/>
      <c r="N100" s="102"/>
      <c r="O100" s="102" t="s">
        <v>182</v>
      </c>
      <c r="P100" s="102" t="str">
        <f t="shared" si="5"/>
        <v>N4|Por Mejorar</v>
      </c>
      <c r="Q100" s="102" t="s">
        <v>171</v>
      </c>
      <c r="R100" s="102" t="str">
        <f>TRIM(tbl_BasePowerBI[[#This Row],[NOMBRE EJECUTIVO]])</f>
        <v>Gina Tinjacá</v>
      </c>
      <c r="S100" s="102"/>
      <c r="T100" s="106"/>
      <c r="U100" s="106"/>
      <c r="V100" s="157"/>
      <c r="W100" s="169">
        <v>0</v>
      </c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>
        <v>105</v>
      </c>
      <c r="AK100" s="102"/>
      <c r="AN100" s="97" t="inlineStr">
        <is>
          <t>Gastronomía</t>
        </is>
      </c>
    </row>
    <row r="101" spans="1:40" s="129" customFormat="1" ht="30" customHeight="1">
      <c r="A101" s="102" t="s">
        <v>3</v>
      </c>
      <c r="B101" s="102" t="s">
        <v>352</v>
      </c>
      <c r="C101" s="118" t="s">
        <v>84</v>
      </c>
      <c r="D101" s="136">
        <v>0</v>
      </c>
      <c r="E101" s="102"/>
      <c r="F101" s="102"/>
      <c r="G101" s="102"/>
      <c r="H101" s="147" t="s">
        <v>135</v>
      </c>
      <c r="I101" s="105"/>
      <c r="J101" s="102"/>
      <c r="K101" s="105"/>
      <c r="L101" s="102"/>
      <c r="M101" s="105"/>
      <c r="N101" s="102"/>
      <c r="O101" s="102" t="s">
        <v>182</v>
      </c>
      <c r="P101" s="102" t="str">
        <f t="shared" si="5"/>
        <v>N4|Por Mejorar</v>
      </c>
      <c r="Q101" s="102" t="s">
        <v>171</v>
      </c>
      <c r="R101" s="102" t="str">
        <f>TRIM(tbl_BasePowerBI[[#This Row],[NOMBRE EJECUTIVO]])</f>
        <v>Gina Tinjacá</v>
      </c>
      <c r="S101" s="102"/>
      <c r="T101" s="106"/>
      <c r="U101" s="106"/>
      <c r="V101" s="157"/>
      <c r="W101" s="169">
        <v>0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>
        <v>106</v>
      </c>
      <c r="AK101" s="102"/>
      <c r="AN101" s="97" t="inlineStr">
        <is>
          <t>Automotriz</t>
        </is>
      </c>
    </row>
    <row r="102" spans="1:40" s="129" customFormat="1" ht="30" customHeight="1">
      <c r="A102" s="102" t="s">
        <v>3</v>
      </c>
      <c r="B102" s="102" t="s">
        <v>352</v>
      </c>
      <c r="C102" s="118" t="s">
        <v>86</v>
      </c>
      <c r="D102" s="136">
        <v>0</v>
      </c>
      <c r="E102" s="102"/>
      <c r="F102" s="102"/>
      <c r="G102" s="102"/>
      <c r="H102" s="147" t="s">
        <v>135</v>
      </c>
      <c r="I102" s="105"/>
      <c r="J102" s="102"/>
      <c r="K102" s="105"/>
      <c r="L102" s="102"/>
      <c r="M102" s="105"/>
      <c r="N102" s="102"/>
      <c r="O102" s="102" t="s">
        <v>182</v>
      </c>
      <c r="P102" s="102" t="str">
        <f t="shared" si="5"/>
        <v>N4|Por Mejorar</v>
      </c>
      <c r="Q102" s="102" t="s">
        <v>171</v>
      </c>
      <c r="R102" s="102" t="str">
        <f>TRIM(tbl_BasePowerBI[[#This Row],[NOMBRE EJECUTIVO]])</f>
        <v>Gina Tinjacá</v>
      </c>
      <c r="S102" s="102"/>
      <c r="T102" s="106"/>
      <c r="U102" s="106"/>
      <c r="V102" s="157"/>
      <c r="W102" s="169">
        <v>0</v>
      </c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>
        <v>107</v>
      </c>
      <c r="AK102" s="102"/>
      <c r="AN102" s="97" t="inlineStr">
        <is>
          <t>Salud</t>
        </is>
      </c>
    </row>
    <row r="103" spans="1:40" s="129" customFormat="1" ht="30" customHeight="1">
      <c r="A103" s="102" t="s">
        <v>3</v>
      </c>
      <c r="B103" s="102" t="s">
        <v>352</v>
      </c>
      <c r="C103" s="118" t="s">
        <v>88</v>
      </c>
      <c r="D103" s="136">
        <v>0</v>
      </c>
      <c r="E103" s="102"/>
      <c r="F103" s="102"/>
      <c r="G103" s="102"/>
      <c r="H103" s="147" t="s">
        <v>135</v>
      </c>
      <c r="I103" s="105"/>
      <c r="J103" s="102"/>
      <c r="K103" s="105"/>
      <c r="L103" s="102"/>
      <c r="M103" s="105"/>
      <c r="N103" s="102"/>
      <c r="O103" s="102" t="s">
        <v>182</v>
      </c>
      <c r="P103" s="102" t="str">
        <f t="shared" si="5"/>
        <v>N4|Por Mejorar</v>
      </c>
      <c r="Q103" s="102" t="s">
        <v>171</v>
      </c>
      <c r="R103" s="102" t="str">
        <f>TRIM(tbl_BasePowerBI[[#This Row],[NOMBRE EJECUTIVO]])</f>
        <v>Gina Tinjacá</v>
      </c>
      <c r="S103" s="102"/>
      <c r="T103" s="106"/>
      <c r="U103" s="106"/>
      <c r="V103" s="157"/>
      <c r="W103" s="169">
        <v>0</v>
      </c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>
        <v>108</v>
      </c>
      <c r="AK103" s="102"/>
      <c r="AL103" s="126"/>
      <c r="AN103" s="97" t="inlineStr">
        <is>
          <t>Moda</t>
        </is>
      </c>
    </row>
    <row r="104" spans="1:40" s="129" customFormat="1" ht="30" customHeight="1">
      <c r="A104" s="102" t="s">
        <v>3</v>
      </c>
      <c r="B104" s="102" t="s">
        <v>352</v>
      </c>
      <c r="C104" s="118" t="s">
        <v>90</v>
      </c>
      <c r="D104" s="136">
        <v>0</v>
      </c>
      <c r="E104" s="102"/>
      <c r="F104" s="102"/>
      <c r="G104" s="102"/>
      <c r="H104" s="147" t="s">
        <v>135</v>
      </c>
      <c r="I104" s="105"/>
      <c r="J104" s="102"/>
      <c r="K104" s="105"/>
      <c r="L104" s="102"/>
      <c r="M104" s="105"/>
      <c r="N104" s="102"/>
      <c r="O104" s="102" t="s">
        <v>182</v>
      </c>
      <c r="P104" s="102" t="str">
        <f t="shared" si="5"/>
        <v>N4|Por Mejorar</v>
      </c>
      <c r="Q104" s="102" t="s">
        <v>171</v>
      </c>
      <c r="R104" s="102" t="str">
        <f>TRIM(tbl_BasePowerBI[[#This Row],[NOMBRE EJECUTIVO]])</f>
        <v>Gina Tinjacá</v>
      </c>
      <c r="S104" s="102"/>
      <c r="T104" s="106"/>
      <c r="U104" s="106"/>
      <c r="V104" s="157"/>
      <c r="W104" s="169">
        <v>0</v>
      </c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>
        <v>109</v>
      </c>
      <c r="AK104" s="102"/>
      <c r="AN104" s="97" t="inlineStr">
        <is>
          <t>Consumo Masivo</t>
        </is>
      </c>
    </row>
    <row r="105" spans="1:40" s="129" customFormat="1" ht="30" customHeight="1">
      <c r="A105" s="102" t="s">
        <v>3</v>
      </c>
      <c r="B105" s="102" t="s">
        <v>352</v>
      </c>
      <c r="C105" s="118" t="s">
        <v>92</v>
      </c>
      <c r="D105" s="136">
        <v>0</v>
      </c>
      <c r="E105" s="102"/>
      <c r="F105" s="102"/>
      <c r="G105" s="102"/>
      <c r="H105" s="147" t="s">
        <v>135</v>
      </c>
      <c r="I105" s="105"/>
      <c r="J105" s="102"/>
      <c r="K105" s="105"/>
      <c r="L105" s="102"/>
      <c r="M105" s="105"/>
      <c r="N105" s="102"/>
      <c r="O105" s="102" t="s">
        <v>182</v>
      </c>
      <c r="P105" s="102" t="str">
        <f t="shared" si="5"/>
        <v>N4|Por Mejorar</v>
      </c>
      <c r="Q105" s="102" t="s">
        <v>171</v>
      </c>
      <c r="R105" s="102" t="str">
        <f>TRIM(tbl_BasePowerBI[[#This Row],[NOMBRE EJECUTIVO]])</f>
        <v>Gina Tinjacá</v>
      </c>
      <c r="S105" s="102"/>
      <c r="T105" s="106"/>
      <c r="U105" s="106"/>
      <c r="V105" s="157"/>
      <c r="W105" s="169">
        <v>0</v>
      </c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>
        <v>112</v>
      </c>
      <c r="AK105" s="102"/>
      <c r="AN105" s="97" t="inlineStr">
        <is>
          <t>Seguros</t>
        </is>
      </c>
    </row>
    <row r="106" spans="1:40" s="129" customFormat="1" ht="30" customHeight="1">
      <c r="A106" s="102" t="s">
        <v>3</v>
      </c>
      <c r="B106" s="102" t="s">
        <v>352</v>
      </c>
      <c r="C106" s="118" t="s">
        <v>94</v>
      </c>
      <c r="D106" s="136">
        <v>0</v>
      </c>
      <c r="E106" s="102"/>
      <c r="F106" s="102"/>
      <c r="G106" s="102"/>
      <c r="H106" s="147" t="s">
        <v>135</v>
      </c>
      <c r="I106" s="105"/>
      <c r="J106" s="102"/>
      <c r="K106" s="105"/>
      <c r="L106" s="102"/>
      <c r="M106" s="105"/>
      <c r="N106" s="102"/>
      <c r="O106" s="102" t="s">
        <v>182</v>
      </c>
      <c r="P106" s="102" t="str">
        <f t="shared" si="5"/>
        <v>N4|Por Mejorar</v>
      </c>
      <c r="Q106" s="102" t="s">
        <v>171</v>
      </c>
      <c r="R106" s="102" t="str">
        <f>TRIM(tbl_BasePowerBI[[#This Row],[NOMBRE EJECUTIVO]])</f>
        <v>Gina Tinjacá</v>
      </c>
      <c r="S106" s="102"/>
      <c r="T106" s="106"/>
      <c r="U106" s="106"/>
      <c r="V106" s="157"/>
      <c r="W106" s="169">
        <v>0</v>
      </c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>
        <v>113</v>
      </c>
      <c r="AK106" s="102"/>
      <c r="AN106" s="97" t="inlineStr">
        <is>
          <t>Consumo Masivo</t>
        </is>
      </c>
    </row>
    <row r="107" spans="1:40" s="129" customFormat="1" ht="30" customHeight="1">
      <c r="A107" s="102" t="s">
        <v>3</v>
      </c>
      <c r="B107" s="102" t="s">
        <v>352</v>
      </c>
      <c r="C107" s="118" t="s">
        <v>96</v>
      </c>
      <c r="D107" s="136">
        <v>0</v>
      </c>
      <c r="E107" s="102"/>
      <c r="F107" s="102"/>
      <c r="G107" s="102"/>
      <c r="H107" s="147" t="s">
        <v>135</v>
      </c>
      <c r="I107" s="105"/>
      <c r="J107" s="102"/>
      <c r="K107" s="105"/>
      <c r="L107" s="102"/>
      <c r="M107" s="105"/>
      <c r="N107" s="102"/>
      <c r="O107" s="102" t="s">
        <v>182</v>
      </c>
      <c r="P107" s="102" t="str">
        <f t="shared" si="5"/>
        <v>N4|Por Mejorar</v>
      </c>
      <c r="Q107" s="102" t="s">
        <v>171</v>
      </c>
      <c r="R107" s="102" t="str">
        <f>TRIM(tbl_BasePowerBI[[#This Row],[NOMBRE EJECUTIVO]])</f>
        <v>Gina Tinjacá</v>
      </c>
      <c r="S107" s="102"/>
      <c r="T107" s="106"/>
      <c r="U107" s="106"/>
      <c r="V107" s="157"/>
      <c r="W107" s="169">
        <v>0</v>
      </c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>
        <v>114</v>
      </c>
      <c r="AK107" s="102"/>
      <c r="AN107" s="97" t="inlineStr">
        <is>
          <t>Consumo Masivo</t>
        </is>
      </c>
    </row>
    <row r="108" spans="1:40" s="129" customFormat="1" ht="30" customHeight="1">
      <c r="A108" s="102" t="s">
        <v>3</v>
      </c>
      <c r="B108" s="102" t="s">
        <v>352</v>
      </c>
      <c r="C108" s="118" t="s">
        <v>97</v>
      </c>
      <c r="D108" s="136">
        <v>0</v>
      </c>
      <c r="E108" s="102"/>
      <c r="F108" s="102"/>
      <c r="G108" s="102"/>
      <c r="H108" s="147" t="s">
        <v>135</v>
      </c>
      <c r="I108" s="105"/>
      <c r="J108" s="102"/>
      <c r="K108" s="105"/>
      <c r="L108" s="102"/>
      <c r="M108" s="105"/>
      <c r="N108" s="102"/>
      <c r="O108" s="102" t="s">
        <v>182</v>
      </c>
      <c r="P108" s="102" t="str">
        <f t="shared" si="5"/>
        <v>N4|Por Mejorar</v>
      </c>
      <c r="Q108" s="102" t="s">
        <v>171</v>
      </c>
      <c r="R108" s="102" t="str">
        <f>TRIM(tbl_BasePowerBI[[#This Row],[NOMBRE EJECUTIVO]])</f>
        <v>Gina Tinjacá</v>
      </c>
      <c r="S108" s="102"/>
      <c r="T108" s="106"/>
      <c r="U108" s="106"/>
      <c r="V108" s="157"/>
      <c r="W108" s="169">
        <v>0</v>
      </c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>
        <v>115</v>
      </c>
      <c r="AK108" s="102"/>
      <c r="AN108" s="97" t="inlineStr">
        <is>
          <t>Educación</t>
        </is>
      </c>
    </row>
    <row r="109" spans="1:40" s="129" customFormat="1" ht="30" customHeight="1">
      <c r="A109" s="113" t="s">
        <v>3</v>
      </c>
      <c r="B109" s="113" t="s">
        <v>355</v>
      </c>
      <c r="C109" s="113" t="s">
        <v>382</v>
      </c>
      <c r="D109" s="138">
        <v>15000000</v>
      </c>
      <c r="E109" s="119" t="s">
        <v>181</v>
      </c>
      <c r="F109" s="113"/>
      <c r="G109" s="113"/>
      <c r="H109" s="119" t="s">
        <v>195</v>
      </c>
      <c r="I109" s="114">
        <v>100</v>
      </c>
      <c r="J109" s="119" t="s">
        <v>213</v>
      </c>
      <c r="K109" s="114">
        <v>100</v>
      </c>
      <c r="L109" s="113" t="s">
        <v>228</v>
      </c>
      <c r="M109" s="114">
        <v>100</v>
      </c>
      <c r="N109" s="113"/>
      <c r="O109" s="113" t="s">
        <v>229</v>
      </c>
      <c r="P109" s="113" t="str">
        <f t="shared" si="5"/>
        <v>N4|Cerrada</v>
      </c>
      <c r="Q109" s="113" t="s">
        <v>139</v>
      </c>
      <c r="R109" s="113" t="str">
        <f>TRIM(tbl_BasePowerBI[[#This Row],[NOMBRE EJECUTIVO]])</f>
        <v>Karen Perez</v>
      </c>
      <c r="S109" s="113" t="s">
        <v>172</v>
      </c>
      <c r="T109" s="115">
        <v>46210</v>
      </c>
      <c r="U109" s="115">
        <v>46210</v>
      </c>
      <c r="V109" s="158" t="s">
        <v>383</v>
      </c>
      <c r="W109" s="171">
        <v>15577700</v>
      </c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>
        <v>116</v>
      </c>
      <c r="AK109" s="113" t="s">
        <v>178</v>
      </c>
      <c r="AN109" s="97" t="inlineStr">
        <is>
          <t>Automotriz</t>
        </is>
      </c>
    </row>
    <row r="110" spans="1:40" s="129" customFormat="1" ht="30" customHeight="1">
      <c r="A110" s="113" t="s">
        <v>3</v>
      </c>
      <c r="B110" s="113" t="s">
        <v>355</v>
      </c>
      <c r="C110" s="113" t="s">
        <v>384</v>
      </c>
      <c r="D110" s="138">
        <v>47000000</v>
      </c>
      <c r="E110" s="113" t="s">
        <v>385</v>
      </c>
      <c r="F110" s="113"/>
      <c r="G110" s="113"/>
      <c r="H110" s="119" t="s">
        <v>195</v>
      </c>
      <c r="I110" s="114">
        <v>100</v>
      </c>
      <c r="J110" s="113" t="s">
        <v>386</v>
      </c>
      <c r="K110" s="114">
        <v>100</v>
      </c>
      <c r="L110" s="113"/>
      <c r="M110" s="114">
        <v>100</v>
      </c>
      <c r="N110" s="113"/>
      <c r="O110" s="113" t="s">
        <v>229</v>
      </c>
      <c r="P110" s="113" t="str">
        <f t="shared" si="5"/>
        <v>N4|Cerrada</v>
      </c>
      <c r="Q110" s="113" t="s">
        <v>139</v>
      </c>
      <c r="R110" s="113" t="str">
        <f>TRIM(tbl_BasePowerBI[[#This Row],[NOMBRE EJECUTIVO]])</f>
        <v>Karen Perez</v>
      </c>
      <c r="S110" s="113" t="s">
        <v>140</v>
      </c>
      <c r="T110" s="115">
        <v>46200</v>
      </c>
      <c r="U110" s="115">
        <v>46200</v>
      </c>
      <c r="V110" s="158" t="s">
        <v>149</v>
      </c>
      <c r="W110" s="171">
        <v>48000000</v>
      </c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>
        <v>118</v>
      </c>
      <c r="AK110" s="113" t="s">
        <v>178</v>
      </c>
      <c r="AN110" s="97" t="inlineStr">
        <is>
          <t>Automotriz</t>
        </is>
      </c>
    </row>
    <row r="111" spans="1:40" s="129" customFormat="1" ht="30" customHeight="1">
      <c r="A111" s="98" t="s">
        <v>3</v>
      </c>
      <c r="B111" s="98" t="s">
        <v>355</v>
      </c>
      <c r="C111" s="98" t="s">
        <v>387</v>
      </c>
      <c r="D111" s="135">
        <v>30000000</v>
      </c>
      <c r="E111" s="98" t="s">
        <v>388</v>
      </c>
      <c r="F111" s="98"/>
      <c r="G111" s="98"/>
      <c r="H111" s="98" t="s">
        <v>378</v>
      </c>
      <c r="I111" s="99">
        <v>100</v>
      </c>
      <c r="J111" s="98" t="s">
        <v>389</v>
      </c>
      <c r="K111" s="99">
        <v>50</v>
      </c>
      <c r="L111" s="98"/>
      <c r="M111" s="99"/>
      <c r="N111" s="98"/>
      <c r="O111" s="98" t="s">
        <v>138</v>
      </c>
      <c r="P111" s="98" t="str">
        <f t="shared" si="5"/>
        <v>N4|En seguimiento</v>
      </c>
      <c r="Q111" s="98" t="s">
        <v>139</v>
      </c>
      <c r="R111" s="98" t="str">
        <f>TRIM(tbl_BasePowerBI[[#This Row],[NOMBRE EJECUTIVO]])</f>
        <v>Karen Perez</v>
      </c>
      <c r="S111" s="98" t="s">
        <v>172</v>
      </c>
      <c r="T111" s="100">
        <v>46217</v>
      </c>
      <c r="U111" s="100">
        <v>46217</v>
      </c>
      <c r="V111" s="154" t="s">
        <v>390</v>
      </c>
      <c r="W111" s="168">
        <v>27980000</v>
      </c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>
        <v>119</v>
      </c>
      <c r="AK111" s="98" t="s">
        <v>188</v>
      </c>
      <c r="AN111" s="97" t="inlineStr">
        <is>
          <t>Moda</t>
        </is>
      </c>
    </row>
    <row r="112" spans="1:40" s="129" customFormat="1" ht="30" customHeight="1">
      <c r="A112" s="98" t="s">
        <v>3</v>
      </c>
      <c r="B112" s="98" t="s">
        <v>355</v>
      </c>
      <c r="C112" s="101" t="s">
        <v>391</v>
      </c>
      <c r="D112" s="135">
        <v>15000000</v>
      </c>
      <c r="E112" s="101" t="s">
        <v>392</v>
      </c>
      <c r="F112" s="98"/>
      <c r="G112" s="98"/>
      <c r="H112" s="101" t="s">
        <v>195</v>
      </c>
      <c r="I112" s="99">
        <v>100</v>
      </c>
      <c r="J112" s="101" t="s">
        <v>213</v>
      </c>
      <c r="K112" s="99">
        <v>50</v>
      </c>
      <c r="L112" s="98"/>
      <c r="M112" s="99">
        <v>50</v>
      </c>
      <c r="N112" s="98"/>
      <c r="O112" s="98" t="s">
        <v>138</v>
      </c>
      <c r="P112" s="98" t="str">
        <f t="shared" si="5"/>
        <v>N4|En seguimiento</v>
      </c>
      <c r="Q112" s="98" t="s">
        <v>139</v>
      </c>
      <c r="R112" s="98" t="str">
        <f>TRIM(tbl_BasePowerBI[[#This Row],[NOMBRE EJECUTIVO]])</f>
        <v>Karen Perez</v>
      </c>
      <c r="S112" s="98" t="s">
        <v>172</v>
      </c>
      <c r="T112" s="100">
        <v>46217</v>
      </c>
      <c r="U112" s="106">
        <v>46218</v>
      </c>
      <c r="V112" s="154" t="s">
        <v>393</v>
      </c>
      <c r="W112" s="169">
        <v>10300000</v>
      </c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>
        <v>120</v>
      </c>
      <c r="AK112" s="98" t="s">
        <v>188</v>
      </c>
      <c r="AN112" s="97" t="inlineStr">
        <is>
          <t>Educación</t>
        </is>
      </c>
    </row>
    <row r="113" spans="1:40" s="129" customFormat="1" ht="63" customHeight="1">
      <c r="A113" s="98" t="s">
        <v>4</v>
      </c>
      <c r="B113" s="107" t="s">
        <v>394</v>
      </c>
      <c r="C113" s="98" t="s">
        <v>395</v>
      </c>
      <c r="D113" s="135">
        <v>45700000</v>
      </c>
      <c r="E113" s="98" t="s">
        <v>396</v>
      </c>
      <c r="F113" s="98"/>
      <c r="G113" s="98"/>
      <c r="H113" s="101" t="s">
        <v>397</v>
      </c>
      <c r="I113" s="99">
        <v>100</v>
      </c>
      <c r="J113" s="101" t="s">
        <v>213</v>
      </c>
      <c r="K113" s="99">
        <v>100</v>
      </c>
      <c r="L113" s="99"/>
      <c r="M113" s="99">
        <v>50</v>
      </c>
      <c r="N113" s="98"/>
      <c r="O113" s="98" t="s">
        <v>138</v>
      </c>
      <c r="P113" s="98" t="str">
        <f t="shared" si="5"/>
        <v>N5|En seguimiento</v>
      </c>
      <c r="Q113" s="98" t="s">
        <v>171</v>
      </c>
      <c r="R113" s="98" t="s">
        <v>398</v>
      </c>
      <c r="S113" s="98" t="s">
        <v>140</v>
      </c>
      <c r="T113" s="100">
        <v>46203</v>
      </c>
      <c r="U113" s="106">
        <v>46203</v>
      </c>
      <c r="V113" s="154" t="s">
        <v>399</v>
      </c>
      <c r="W113" s="169">
        <v>24664200</v>
      </c>
      <c r="X113" s="86"/>
      <c r="Y113" s="86"/>
      <c r="Z113" s="86" t="s">
        <v>400</v>
      </c>
      <c r="AA113" s="89"/>
      <c r="AB113" s="89"/>
      <c r="AC113" s="89" t="s">
        <v>3</v>
      </c>
      <c r="AD113" s="89" t="s">
        <v>229</v>
      </c>
      <c r="AE113" s="90" t="e" vm="12">
        <v>#VALUE!</v>
      </c>
      <c r="AF113" s="89"/>
      <c r="AG113" s="89" t="str">
        <f>AC113&amp;"|"&amp;AD113</f>
        <v>N4|Cerrada</v>
      </c>
      <c r="AH113" s="86"/>
      <c r="AI113" s="86"/>
      <c r="AJ113" s="86">
        <v>121</v>
      </c>
      <c r="AK113" s="98" t="s">
        <v>188</v>
      </c>
      <c r="AN113" s="97" t="inlineStr">
        <is>
          <t>Salud</t>
        </is>
      </c>
    </row>
    <row r="114" spans="1:40" s="129" customFormat="1" ht="30" customHeight="1">
      <c r="A114" s="102" t="s">
        <v>4</v>
      </c>
      <c r="B114" s="104" t="s">
        <v>394</v>
      </c>
      <c r="C114" s="102" t="s">
        <v>401</v>
      </c>
      <c r="D114" s="136">
        <v>8000000</v>
      </c>
      <c r="E114" s="102" t="s">
        <v>402</v>
      </c>
      <c r="F114" s="102"/>
      <c r="G114" s="102"/>
      <c r="H114" s="103" t="s">
        <v>135</v>
      </c>
      <c r="I114" s="105">
        <v>0</v>
      </c>
      <c r="J114" s="102"/>
      <c r="K114" s="105">
        <v>0</v>
      </c>
      <c r="L114" s="102"/>
      <c r="M114" s="105">
        <v>0</v>
      </c>
      <c r="N114" s="102"/>
      <c r="O114" s="102" t="s">
        <v>182</v>
      </c>
      <c r="P114" s="102" t="str">
        <f t="shared" si="5"/>
        <v>N5|Por Mejorar</v>
      </c>
      <c r="Q114" s="102" t="s">
        <v>171</v>
      </c>
      <c r="R114" s="102" t="str">
        <f>TRIM(tbl_BasePowerBI[[#This Row],[NOMBRE EJECUTIVO]])</f>
        <v>Luz Karime Hernandez</v>
      </c>
      <c r="S114" s="102"/>
      <c r="T114" s="106"/>
      <c r="U114" s="106"/>
      <c r="V114" s="157"/>
      <c r="W114" s="169">
        <v>0</v>
      </c>
      <c r="X114" s="86"/>
      <c r="Y114" s="86"/>
      <c r="Z114" s="86"/>
      <c r="AA114" s="89"/>
      <c r="AB114" s="89"/>
      <c r="AC114" s="89" t="s">
        <v>4</v>
      </c>
      <c r="AD114" s="89" t="s">
        <v>182</v>
      </c>
      <c r="AE114" s="90" t="e" vm="13">
        <v>#VALUE!</v>
      </c>
      <c r="AF114" s="89"/>
      <c r="AG114" s="89" t="str">
        <f>AC114&amp;"|"&amp;AD114</f>
        <v>N5|Por Mejorar</v>
      </c>
      <c r="AH114" s="86"/>
      <c r="AI114" s="86"/>
      <c r="AJ114" s="86">
        <v>122</v>
      </c>
      <c r="AK114" s="102"/>
      <c r="AN114" s="97" t="inlineStr">
        <is>
          <t>Consumo Masivo</t>
        </is>
      </c>
    </row>
    <row r="115" spans="1:40" s="129" customFormat="1" ht="30" customHeight="1">
      <c r="A115" s="102" t="s">
        <v>4</v>
      </c>
      <c r="B115" s="104" t="s">
        <v>403</v>
      </c>
      <c r="C115" s="102" t="s">
        <v>404</v>
      </c>
      <c r="D115" s="136">
        <v>4000000</v>
      </c>
      <c r="E115" s="102" t="s">
        <v>405</v>
      </c>
      <c r="F115" s="102"/>
      <c r="G115" s="102"/>
      <c r="H115" s="103" t="s">
        <v>135</v>
      </c>
      <c r="I115" s="105">
        <v>0</v>
      </c>
      <c r="J115" s="102"/>
      <c r="K115" s="105">
        <v>0</v>
      </c>
      <c r="L115" s="102"/>
      <c r="M115" s="105">
        <v>0</v>
      </c>
      <c r="N115" s="102"/>
      <c r="O115" s="102" t="s">
        <v>182</v>
      </c>
      <c r="P115" s="102" t="str">
        <f t="shared" si="5"/>
        <v>N5|Por Mejorar</v>
      </c>
      <c r="Q115" s="102" t="s">
        <v>171</v>
      </c>
      <c r="R115" s="102" t="str">
        <f>TRIM(tbl_BasePowerBI[[#This Row],[NOMBRE EJECUTIVO]])</f>
        <v>Ana Maria Castañeda</v>
      </c>
      <c r="S115" s="102"/>
      <c r="T115" s="106"/>
      <c r="U115" s="106"/>
      <c r="V115" s="157"/>
      <c r="W115" s="169">
        <v>0</v>
      </c>
      <c r="X115" s="86"/>
      <c r="Y115" s="86"/>
      <c r="Z115" s="86"/>
      <c r="AA115" s="89"/>
      <c r="AB115" s="89"/>
      <c r="AC115" s="89" t="s">
        <v>4</v>
      </c>
      <c r="AD115" s="89" t="s">
        <v>138</v>
      </c>
      <c r="AE115" s="90" t="e" vm="14">
        <v>#VALUE!</v>
      </c>
      <c r="AF115" s="89"/>
      <c r="AG115" s="89" t="str">
        <f>AC115&amp;"|"&amp;AD115</f>
        <v>N5|En seguimiento</v>
      </c>
      <c r="AH115" s="86"/>
      <c r="AI115" s="86"/>
      <c r="AJ115" s="86">
        <v>123</v>
      </c>
      <c r="AK115" s="102"/>
      <c r="AN115" s="97" t="inlineStr">
        <is>
          <t>Educación</t>
        </is>
      </c>
    </row>
    <row r="116" spans="1:40" s="129" customFormat="1" ht="30" customHeight="1">
      <c r="A116" s="98" t="s">
        <v>4</v>
      </c>
      <c r="B116" s="107" t="s">
        <v>403</v>
      </c>
      <c r="C116" s="98" t="s">
        <v>406</v>
      </c>
      <c r="D116" s="135">
        <v>64600000</v>
      </c>
      <c r="E116" s="140" t="s">
        <v>407</v>
      </c>
      <c r="F116" s="98"/>
      <c r="G116" s="98"/>
      <c r="H116" s="101" t="s">
        <v>195</v>
      </c>
      <c r="I116" s="99">
        <v>100</v>
      </c>
      <c r="J116" s="98"/>
      <c r="K116" s="99">
        <v>100</v>
      </c>
      <c r="L116" s="98"/>
      <c r="M116" s="99">
        <v>50</v>
      </c>
      <c r="N116" s="98"/>
      <c r="O116" s="98" t="s">
        <v>182</v>
      </c>
      <c r="P116" s="98" t="str">
        <f t="shared" si="5"/>
        <v>N5|Por Mejorar</v>
      </c>
      <c r="Q116" s="98" t="s">
        <v>171</v>
      </c>
      <c r="R116" s="98" t="str">
        <f>TRIM(tbl_BasePowerBI[[#This Row],[NOMBRE EJECUTIVO]])</f>
        <v>Ana Maria Castañeda</v>
      </c>
      <c r="S116" s="98" t="s">
        <v>196</v>
      </c>
      <c r="T116" s="106">
        <v>46275</v>
      </c>
      <c r="U116" s="106">
        <v>46275</v>
      </c>
      <c r="V116" s="197" t="s">
        <v>408</v>
      </c>
      <c r="W116" s="136">
        <v>64600000</v>
      </c>
      <c r="X116" s="86"/>
      <c r="Y116" s="86"/>
      <c r="Z116" s="86"/>
      <c r="AA116" s="89"/>
      <c r="AB116" s="89"/>
      <c r="AC116" s="89" t="s">
        <v>4</v>
      </c>
      <c r="AD116" s="89" t="s">
        <v>229</v>
      </c>
      <c r="AE116" s="90" t="e" vm="15">
        <v>#VALUE!</v>
      </c>
      <c r="AF116" s="89"/>
      <c r="AG116" s="89" t="str">
        <f>AC116&amp;"|"&amp;AD116</f>
        <v>N5|Cerrada</v>
      </c>
      <c r="AH116" s="86"/>
      <c r="AI116" s="86"/>
      <c r="AJ116" s="86">
        <v>124</v>
      </c>
      <c r="AK116" s="98" t="s">
        <v>198</v>
      </c>
      <c r="AN116" s="97" t="inlineStr">
        <is>
          <t>Inmobiliario</t>
        </is>
      </c>
    </row>
    <row r="117" spans="1:40" s="129" customFormat="1" ht="44.25" customHeight="1">
      <c r="A117" s="98" t="s">
        <v>4</v>
      </c>
      <c r="B117" s="107" t="s">
        <v>403</v>
      </c>
      <c r="C117" s="98" t="s">
        <v>409</v>
      </c>
      <c r="D117" s="135">
        <v>64600000</v>
      </c>
      <c r="E117" s="140" t="s">
        <v>407</v>
      </c>
      <c r="F117" s="98"/>
      <c r="G117" s="98"/>
      <c r="H117" s="101" t="s">
        <v>195</v>
      </c>
      <c r="I117" s="99">
        <v>100</v>
      </c>
      <c r="J117" s="98"/>
      <c r="K117" s="99">
        <v>100</v>
      </c>
      <c r="L117" s="98"/>
      <c r="M117" s="99">
        <v>50</v>
      </c>
      <c r="N117" s="98"/>
      <c r="O117" s="98" t="s">
        <v>182</v>
      </c>
      <c r="P117" s="98" t="str">
        <f t="shared" ref="P117" si="6">A117&amp;"|"&amp;O117</f>
        <v>N5|Por Mejorar</v>
      </c>
      <c r="Q117" s="98" t="s">
        <v>171</v>
      </c>
      <c r="R117" s="98" t="str">
        <f>TRIM(tbl_BasePowerBI[[#This Row],[NOMBRE EJECUTIVO]])</f>
        <v>Ana Maria Castañeda</v>
      </c>
      <c r="S117" s="98" t="s">
        <v>287</v>
      </c>
      <c r="T117" s="106">
        <v>46300</v>
      </c>
      <c r="U117" s="106">
        <v>46300</v>
      </c>
      <c r="V117" s="200" t="s">
        <v>410</v>
      </c>
      <c r="W117" s="135">
        <v>64600000</v>
      </c>
      <c r="X117" s="98" t="s">
        <v>198</v>
      </c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>
        <v>125</v>
      </c>
      <c r="AK117" s="98" t="s">
        <v>198</v>
      </c>
      <c r="AN117" s="97" t="inlineStr">
        <is>
          <t>Inmobiliario</t>
        </is>
      </c>
    </row>
    <row r="118" spans="1:40" ht="30" customHeight="1">
      <c r="A118" s="102" t="s">
        <v>4</v>
      </c>
      <c r="B118" s="104" t="s">
        <v>403</v>
      </c>
      <c r="C118" s="102" t="s">
        <v>411</v>
      </c>
      <c r="D118" s="136">
        <v>0</v>
      </c>
      <c r="E118" s="102" t="s">
        <v>412</v>
      </c>
      <c r="F118" s="102"/>
      <c r="G118" s="102"/>
      <c r="H118" s="103" t="s">
        <v>135</v>
      </c>
      <c r="I118" s="105">
        <v>0</v>
      </c>
      <c r="J118" s="102"/>
      <c r="K118" s="105">
        <v>0</v>
      </c>
      <c r="L118" s="102"/>
      <c r="M118" s="105">
        <v>0</v>
      </c>
      <c r="N118" s="102"/>
      <c r="O118" s="102" t="s">
        <v>182</v>
      </c>
      <c r="P118" s="102" t="str">
        <f t="shared" si="5"/>
        <v>N5|Por Mejorar</v>
      </c>
      <c r="Q118" s="102" t="s">
        <v>171</v>
      </c>
      <c r="R118" s="102" t="str">
        <f>TRIM(tbl_BasePowerBI[[#This Row],[NOMBRE EJECUTIVO]])</f>
        <v>Ana Maria Castañeda</v>
      </c>
      <c r="S118" s="102"/>
      <c r="T118" s="106"/>
      <c r="U118" s="106"/>
      <c r="V118" s="157"/>
      <c r="W118" s="169">
        <v>0</v>
      </c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J118" s="86">
        <v>126</v>
      </c>
      <c r="AK118" s="97"/>
      <c r="AN118" s="97" t="inlineStr">
        <is>
          <t>Moda</t>
        </is>
      </c>
    </row>
    <row r="119" spans="1:40" ht="30" customHeight="1">
      <c r="A119" s="102" t="s">
        <v>4</v>
      </c>
      <c r="B119" s="104" t="s">
        <v>413</v>
      </c>
      <c r="C119" s="102" t="s">
        <v>414</v>
      </c>
      <c r="D119" s="136">
        <v>0</v>
      </c>
      <c r="E119" s="102" t="s">
        <v>415</v>
      </c>
      <c r="F119" s="102"/>
      <c r="G119" s="102"/>
      <c r="H119" s="103" t="s">
        <v>135</v>
      </c>
      <c r="I119" s="105">
        <v>0</v>
      </c>
      <c r="J119" s="102"/>
      <c r="K119" s="105">
        <v>0</v>
      </c>
      <c r="L119" s="102"/>
      <c r="M119" s="105">
        <v>0</v>
      </c>
      <c r="N119" s="102"/>
      <c r="O119" s="102" t="s">
        <v>182</v>
      </c>
      <c r="P119" s="102" t="str">
        <f t="shared" si="5"/>
        <v>N5|Por Mejorar</v>
      </c>
      <c r="Q119" s="102" t="s">
        <v>171</v>
      </c>
      <c r="R119" s="102" t="str">
        <f>TRIM(tbl_BasePowerBI[[#This Row],[NOMBRE EJECUTIVO]])</f>
        <v>Carol Beltan</v>
      </c>
      <c r="S119" s="102"/>
      <c r="T119" s="106"/>
      <c r="U119" s="106"/>
      <c r="V119" s="157"/>
      <c r="W119" s="169">
        <v>0</v>
      </c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J119" s="86">
        <v>127</v>
      </c>
      <c r="AK119" s="97"/>
      <c r="AL119" s="129"/>
      <c r="AN119" s="97" t="inlineStr">
        <is>
          <t>Inmobiliario</t>
        </is>
      </c>
    </row>
    <row r="120" spans="1:40" ht="30" customHeight="1">
      <c r="A120" s="102" t="s">
        <v>4</v>
      </c>
      <c r="B120" s="104" t="s">
        <v>413</v>
      </c>
      <c r="C120" s="102" t="s">
        <v>416</v>
      </c>
      <c r="D120" s="136">
        <v>0</v>
      </c>
      <c r="E120" s="102" t="s">
        <v>417</v>
      </c>
      <c r="F120" s="102"/>
      <c r="G120" s="102"/>
      <c r="H120" s="103" t="s">
        <v>135</v>
      </c>
      <c r="I120" s="105">
        <v>0</v>
      </c>
      <c r="J120" s="102"/>
      <c r="K120" s="105">
        <v>0</v>
      </c>
      <c r="L120" s="102"/>
      <c r="M120" s="105">
        <v>0</v>
      </c>
      <c r="N120" s="102"/>
      <c r="O120" s="102" t="s">
        <v>182</v>
      </c>
      <c r="P120" s="102" t="str">
        <f t="shared" si="5"/>
        <v>N5|Por Mejorar</v>
      </c>
      <c r="Q120" s="102" t="s">
        <v>171</v>
      </c>
      <c r="R120" s="102" t="str">
        <f>TRIM(tbl_BasePowerBI[[#This Row],[NOMBRE EJECUTIVO]])</f>
        <v>Carol Beltan</v>
      </c>
      <c r="S120" s="102"/>
      <c r="T120" s="106"/>
      <c r="U120" s="106"/>
      <c r="V120" s="157"/>
      <c r="W120" s="169">
        <v>0</v>
      </c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J120" s="86">
        <v>128</v>
      </c>
      <c r="AK120" s="97"/>
      <c r="AN120" s="97" t="inlineStr">
        <is>
          <t>Inmobiliario</t>
        </is>
      </c>
    </row>
    <row r="121" spans="1:40" ht="30" customHeight="1">
      <c r="A121" s="102" t="s">
        <v>4</v>
      </c>
      <c r="B121" s="104" t="s">
        <v>413</v>
      </c>
      <c r="C121" s="102" t="s">
        <v>418</v>
      </c>
      <c r="D121" s="136">
        <v>0</v>
      </c>
      <c r="E121" s="102" t="s">
        <v>419</v>
      </c>
      <c r="F121" s="102"/>
      <c r="G121" s="102"/>
      <c r="H121" s="103" t="s">
        <v>135</v>
      </c>
      <c r="I121" s="105">
        <v>0</v>
      </c>
      <c r="J121" s="102"/>
      <c r="K121" s="105">
        <v>0</v>
      </c>
      <c r="L121" s="102"/>
      <c r="M121" s="105">
        <v>0</v>
      </c>
      <c r="N121" s="102"/>
      <c r="O121" s="102" t="s">
        <v>182</v>
      </c>
      <c r="P121" s="102" t="str">
        <f t="shared" si="5"/>
        <v>N5|Por Mejorar</v>
      </c>
      <c r="Q121" s="102" t="s">
        <v>171</v>
      </c>
      <c r="R121" s="102" t="str">
        <f>TRIM(tbl_BasePowerBI[[#This Row],[NOMBRE EJECUTIVO]])</f>
        <v>Carol Beltan</v>
      </c>
      <c r="S121" s="102"/>
      <c r="T121" s="106"/>
      <c r="U121" s="106"/>
      <c r="V121" s="157"/>
      <c r="W121" s="169">
        <v>0</v>
      </c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J121" s="86">
        <v>129</v>
      </c>
      <c r="AK121" s="97"/>
      <c r="AN121" s="97" t="inlineStr">
        <is>
          <t>Entretenimiento</t>
        </is>
      </c>
    </row>
    <row r="122" spans="1:40" ht="30" customHeight="1">
      <c r="A122" s="98" t="s">
        <v>4</v>
      </c>
      <c r="B122" s="107" t="s">
        <v>420</v>
      </c>
      <c r="C122" s="98" t="s">
        <v>421</v>
      </c>
      <c r="D122" s="169">
        <v>15880000</v>
      </c>
      <c r="E122" s="101" t="s">
        <v>422</v>
      </c>
      <c r="F122" s="98"/>
      <c r="G122" s="98"/>
      <c r="H122" s="101" t="s">
        <v>195</v>
      </c>
      <c r="I122" s="105">
        <v>0</v>
      </c>
      <c r="J122" s="101" t="s">
        <v>213</v>
      </c>
      <c r="K122" s="99">
        <v>100</v>
      </c>
      <c r="L122" s="98"/>
      <c r="M122" s="99">
        <v>50</v>
      </c>
      <c r="N122" s="98"/>
      <c r="O122" s="98" t="s">
        <v>138</v>
      </c>
      <c r="P122" s="98" t="str">
        <f t="shared" si="5"/>
        <v>N5|En seguimiento</v>
      </c>
      <c r="Q122" s="98" t="s">
        <v>171</v>
      </c>
      <c r="R122" s="98" t="str">
        <f>TRIM(tbl_BasePowerBI[[#This Row],[NOMBRE EJECUTIVO]])</f>
        <v>Raul Herrera</v>
      </c>
      <c r="S122" s="98" t="s">
        <v>196</v>
      </c>
      <c r="T122" s="100">
        <v>46267</v>
      </c>
      <c r="U122" s="100">
        <v>46267</v>
      </c>
      <c r="V122" s="177" t="s">
        <v>423</v>
      </c>
      <c r="W122" s="169">
        <v>15880000</v>
      </c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J122" s="86">
        <v>130</v>
      </c>
      <c r="AK122" s="97" t="s">
        <v>198</v>
      </c>
      <c r="AL122" s="129"/>
      <c r="AN122" s="97" t="inlineStr">
        <is>
          <t>Viajes</t>
        </is>
      </c>
    </row>
    <row r="123" spans="1:40" ht="53.25" customHeight="1">
      <c r="A123" s="102" t="s">
        <v>4</v>
      </c>
      <c r="B123" s="104" t="s">
        <v>420</v>
      </c>
      <c r="C123" s="102" t="s">
        <v>424</v>
      </c>
      <c r="D123" s="136">
        <v>0</v>
      </c>
      <c r="E123" s="102" t="s">
        <v>425</v>
      </c>
      <c r="F123" s="102"/>
      <c r="G123" s="102"/>
      <c r="H123" s="103" t="s">
        <v>135</v>
      </c>
      <c r="I123" s="105">
        <v>0</v>
      </c>
      <c r="J123" s="102"/>
      <c r="K123" s="105">
        <v>0</v>
      </c>
      <c r="L123" s="102"/>
      <c r="M123" s="105">
        <v>0</v>
      </c>
      <c r="N123" s="102"/>
      <c r="O123" s="102" t="s">
        <v>182</v>
      </c>
      <c r="P123" s="102" t="str">
        <f t="shared" si="5"/>
        <v>N5|Por Mejorar</v>
      </c>
      <c r="Q123" s="102" t="s">
        <v>171</v>
      </c>
      <c r="R123" s="102" t="str">
        <f>TRIM(tbl_BasePowerBI[[#This Row],[NOMBRE EJECUTIVO]])</f>
        <v>Raul Herrera</v>
      </c>
      <c r="S123" s="102"/>
      <c r="T123" s="106"/>
      <c r="U123" s="106"/>
      <c r="V123" s="157"/>
      <c r="W123" s="169">
        <v>0</v>
      </c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J123" s="86">
        <v>131</v>
      </c>
      <c r="AK123" s="97"/>
      <c r="AL123" s="129"/>
      <c r="AN123" s="97" t="inlineStr">
        <is>
          <t>Tecnología</t>
        </is>
      </c>
    </row>
    <row r="124" spans="1:40" ht="30" customHeight="1">
      <c r="A124" s="98" t="s">
        <v>4</v>
      </c>
      <c r="B124" s="98" t="s">
        <v>413</v>
      </c>
      <c r="C124" s="98" t="s">
        <v>426</v>
      </c>
      <c r="D124" s="135">
        <v>50000000</v>
      </c>
      <c r="E124" s="98" t="s">
        <v>427</v>
      </c>
      <c r="F124" s="98"/>
      <c r="G124" s="98"/>
      <c r="H124" s="101" t="s">
        <v>135</v>
      </c>
      <c r="I124" s="99">
        <v>100</v>
      </c>
      <c r="J124" s="101" t="s">
        <v>213</v>
      </c>
      <c r="K124" s="99">
        <v>100</v>
      </c>
      <c r="L124" s="98" t="s">
        <v>148</v>
      </c>
      <c r="M124" s="99">
        <v>100</v>
      </c>
      <c r="N124" s="98"/>
      <c r="O124" s="98" t="s">
        <v>138</v>
      </c>
      <c r="P124" s="98" t="str">
        <f t="shared" si="5"/>
        <v>N5|En seguimiento</v>
      </c>
      <c r="Q124" s="98" t="s">
        <v>254</v>
      </c>
      <c r="R124" s="98" t="str">
        <f>TRIM(tbl_BasePowerBI[[#This Row],[NOMBRE EJECUTIVO]])</f>
        <v>Carol Beltan</v>
      </c>
      <c r="S124" s="98" t="s">
        <v>140</v>
      </c>
      <c r="T124" s="100">
        <v>46174</v>
      </c>
      <c r="U124" s="100">
        <v>46174</v>
      </c>
      <c r="V124" s="154" t="s">
        <v>428</v>
      </c>
      <c r="W124" s="169">
        <v>60000000</v>
      </c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J124" s="86">
        <v>132</v>
      </c>
      <c r="AK124" s="97" t="s">
        <v>178</v>
      </c>
      <c r="AL124" s="129"/>
      <c r="AN124" s="97" t="inlineStr">
        <is>
          <t>Moda</t>
        </is>
      </c>
    </row>
    <row r="125" spans="1:40" ht="30" customHeight="1">
      <c r="A125" s="113" t="s">
        <v>4</v>
      </c>
      <c r="B125" s="113" t="s">
        <v>413</v>
      </c>
      <c r="C125" s="113" t="s">
        <v>429</v>
      </c>
      <c r="D125" s="138">
        <v>20000000</v>
      </c>
      <c r="E125" s="113" t="s">
        <v>155</v>
      </c>
      <c r="F125" s="113"/>
      <c r="G125" s="113"/>
      <c r="H125" s="119" t="s">
        <v>135</v>
      </c>
      <c r="I125" s="114">
        <v>100</v>
      </c>
      <c r="J125" s="119" t="s">
        <v>213</v>
      </c>
      <c r="K125" s="114">
        <v>100</v>
      </c>
      <c r="L125" s="113" t="s">
        <v>137</v>
      </c>
      <c r="M125" s="114">
        <v>100</v>
      </c>
      <c r="N125" s="113"/>
      <c r="O125" s="113" t="s">
        <v>229</v>
      </c>
      <c r="P125" s="113" t="str">
        <f t="shared" si="5"/>
        <v>N5|Cerrada</v>
      </c>
      <c r="Q125" s="113" t="s">
        <v>254</v>
      </c>
      <c r="R125" s="113" t="str">
        <f>TRIM(tbl_BasePowerBI[[#This Row],[NOMBRE EJECUTIVO]])</f>
        <v>Carol Beltan</v>
      </c>
      <c r="S125" s="113" t="s">
        <v>140</v>
      </c>
      <c r="T125" s="115">
        <v>46182</v>
      </c>
      <c r="U125" s="115">
        <v>46182</v>
      </c>
      <c r="V125" s="161"/>
      <c r="W125" s="169">
        <v>18000000</v>
      </c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J125" s="86">
        <v>133</v>
      </c>
      <c r="AK125" s="97" t="s">
        <v>178</v>
      </c>
      <c r="AL125" s="129"/>
      <c r="AN125" s="97" t="inlineStr">
        <is>
          <t>Consumo Masivo</t>
        </is>
      </c>
    </row>
    <row r="126" spans="1:40" ht="30" customHeight="1">
      <c r="A126" s="98" t="s">
        <v>4</v>
      </c>
      <c r="B126" s="98" t="s">
        <v>413</v>
      </c>
      <c r="C126" s="98" t="s">
        <v>430</v>
      </c>
      <c r="D126" s="135">
        <v>40000000</v>
      </c>
      <c r="E126" s="98" t="s">
        <v>431</v>
      </c>
      <c r="F126" s="98"/>
      <c r="G126" s="98"/>
      <c r="H126" s="101" t="s">
        <v>135</v>
      </c>
      <c r="I126" s="101">
        <v>100</v>
      </c>
      <c r="J126" s="101" t="s">
        <v>213</v>
      </c>
      <c r="K126" s="99">
        <v>100</v>
      </c>
      <c r="L126" s="98" t="s">
        <v>137</v>
      </c>
      <c r="M126" s="99">
        <v>50</v>
      </c>
      <c r="N126" s="98"/>
      <c r="O126" s="98" t="s">
        <v>138</v>
      </c>
      <c r="P126" s="98" t="str">
        <f t="shared" si="5"/>
        <v>N5|En seguimiento</v>
      </c>
      <c r="Q126" s="98" t="s">
        <v>139</v>
      </c>
      <c r="R126" s="98" t="s">
        <v>432</v>
      </c>
      <c r="S126" s="98" t="s">
        <v>140</v>
      </c>
      <c r="T126" s="100">
        <v>46199</v>
      </c>
      <c r="U126" s="106">
        <v>46195</v>
      </c>
      <c r="V126" s="154" t="s">
        <v>433</v>
      </c>
      <c r="W126" s="169">
        <v>45000000</v>
      </c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J126" s="86">
        <v>134</v>
      </c>
      <c r="AK126" s="97" t="s">
        <v>178</v>
      </c>
      <c r="AN126" s="97" t="inlineStr">
        <is>
          <t>Consumo Masivo</t>
        </is>
      </c>
    </row>
    <row r="127" spans="1:40" ht="30" customHeight="1">
      <c r="A127" s="102" t="s">
        <v>4</v>
      </c>
      <c r="B127" s="103" t="s">
        <v>413</v>
      </c>
      <c r="C127" s="104" t="s">
        <v>434</v>
      </c>
      <c r="D127" s="136">
        <v>0</v>
      </c>
      <c r="E127" s="102"/>
      <c r="F127" s="102"/>
      <c r="G127" s="102"/>
      <c r="H127" s="147" t="s">
        <v>135</v>
      </c>
      <c r="I127" s="105">
        <v>0</v>
      </c>
      <c r="J127" s="102"/>
      <c r="K127" s="105"/>
      <c r="L127" s="102"/>
      <c r="M127" s="105"/>
      <c r="N127" s="102"/>
      <c r="O127" s="102" t="s">
        <v>182</v>
      </c>
      <c r="P127" s="102" t="str">
        <f t="shared" si="5"/>
        <v>N5|Por Mejorar</v>
      </c>
      <c r="Q127" s="102" t="s">
        <v>171</v>
      </c>
      <c r="R127" s="102" t="str">
        <f>TRIM(tbl_BasePowerBI[[#This Row],[NOMBRE EJECUTIVO]])</f>
        <v>Carol Beltan</v>
      </c>
      <c r="S127" s="102"/>
      <c r="T127" s="106"/>
      <c r="U127" s="106"/>
      <c r="V127" s="157"/>
      <c r="W127" s="169">
        <v>0</v>
      </c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J127" s="86">
        <v>135</v>
      </c>
      <c r="AK127" s="97"/>
      <c r="AN127" s="97" t="inlineStr">
        <is>
          <t>Consumo Masivo</t>
        </is>
      </c>
    </row>
    <row r="128" spans="1:40" ht="30" customHeight="1">
      <c r="A128" s="102" t="s">
        <v>4</v>
      </c>
      <c r="B128" s="103" t="s">
        <v>420</v>
      </c>
      <c r="C128" s="104" t="s">
        <v>424</v>
      </c>
      <c r="D128" s="136">
        <v>0</v>
      </c>
      <c r="E128" s="102"/>
      <c r="F128" s="102"/>
      <c r="G128" s="102"/>
      <c r="H128" s="147" t="s">
        <v>135</v>
      </c>
      <c r="I128" s="105">
        <v>0</v>
      </c>
      <c r="J128" s="102"/>
      <c r="K128" s="105"/>
      <c r="L128" s="102"/>
      <c r="M128" s="105"/>
      <c r="N128" s="102"/>
      <c r="O128" s="102" t="s">
        <v>182</v>
      </c>
      <c r="P128" s="102" t="str">
        <f t="shared" si="5"/>
        <v>N5|Por Mejorar</v>
      </c>
      <c r="Q128" s="102" t="s">
        <v>171</v>
      </c>
      <c r="R128" s="102" t="str">
        <f>TRIM(tbl_BasePowerBI[[#This Row],[NOMBRE EJECUTIVO]])</f>
        <v>Raul Herrera</v>
      </c>
      <c r="S128" s="102"/>
      <c r="T128" s="106"/>
      <c r="U128" s="106"/>
      <c r="V128" s="157"/>
      <c r="W128" s="169">
        <v>0</v>
      </c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K128" s="97"/>
      <c r="AN128" s="97" t="inlineStr">
        <is>
          <t>Tecnología</t>
        </is>
      </c>
    </row>
    <row r="129" spans="1:40" s="129" customFormat="1" ht="30" customHeight="1">
      <c r="A129" s="113" t="s">
        <v>4</v>
      </c>
      <c r="B129" s="119" t="s">
        <v>403</v>
      </c>
      <c r="C129" s="120" t="s">
        <v>435</v>
      </c>
      <c r="D129" s="138">
        <v>30000000</v>
      </c>
      <c r="E129" s="113"/>
      <c r="F129" s="113"/>
      <c r="G129" s="113"/>
      <c r="H129" s="119" t="s">
        <v>135</v>
      </c>
      <c r="I129" s="114">
        <v>100</v>
      </c>
      <c r="J129" s="113" t="s">
        <v>327</v>
      </c>
      <c r="K129" s="114">
        <v>100</v>
      </c>
      <c r="L129" s="113" t="s">
        <v>436</v>
      </c>
      <c r="M129" s="114">
        <v>100</v>
      </c>
      <c r="N129" s="113"/>
      <c r="O129" s="113" t="s">
        <v>229</v>
      </c>
      <c r="P129" s="113" t="str">
        <f t="shared" si="5"/>
        <v>N5|Cerrada</v>
      </c>
      <c r="Q129" s="113" t="s">
        <v>171</v>
      </c>
      <c r="R129" s="113" t="str">
        <f>TRIM(tbl_BasePowerBI[[#This Row],[NOMBRE EJECUTIVO]])</f>
        <v>Ana Maria Castañeda</v>
      </c>
      <c r="S129" s="113" t="s">
        <v>140</v>
      </c>
      <c r="T129" s="115"/>
      <c r="U129" s="115"/>
      <c r="V129" s="161"/>
      <c r="W129" s="169">
        <v>30000000</v>
      </c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102" t="s">
        <v>178</v>
      </c>
      <c r="AN129" s="97" t="inlineStr">
        <is>
          <t>Moda</t>
        </is>
      </c>
    </row>
    <row r="130" spans="1:40" ht="30" customHeight="1">
      <c r="A130" s="102" t="s">
        <v>4</v>
      </c>
      <c r="B130" s="103" t="s">
        <v>420</v>
      </c>
      <c r="C130" s="104" t="s">
        <v>437</v>
      </c>
      <c r="D130" s="136">
        <v>0</v>
      </c>
      <c r="E130" s="102"/>
      <c r="F130" s="102"/>
      <c r="G130" s="102"/>
      <c r="H130" s="147" t="s">
        <v>135</v>
      </c>
      <c r="I130" s="105">
        <v>0</v>
      </c>
      <c r="J130" s="102"/>
      <c r="K130" s="105"/>
      <c r="L130" s="102"/>
      <c r="M130" s="105"/>
      <c r="N130" s="102"/>
      <c r="O130" s="102" t="s">
        <v>182</v>
      </c>
      <c r="P130" s="102" t="str">
        <f t="shared" ref="P130:P134" si="7">A130&amp;"|"&amp;O130</f>
        <v>N5|Por Mejorar</v>
      </c>
      <c r="Q130" s="102" t="s">
        <v>171</v>
      </c>
      <c r="R130" s="102" t="str">
        <f>TRIM(tbl_BasePowerBI[[#This Row],[NOMBRE EJECUTIVO]])</f>
        <v>Raul Herrera</v>
      </c>
      <c r="S130" s="102"/>
      <c r="T130" s="106"/>
      <c r="U130" s="106"/>
      <c r="V130" s="157"/>
      <c r="W130" s="169">
        <v>0</v>
      </c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K130" s="97"/>
      <c r="AM130" s="132"/>
      <c r="AN130" s="97" t="inlineStr">
        <is>
          <t>Salud</t>
        </is>
      </c>
    </row>
    <row r="131" spans="1:40" ht="30" customHeight="1">
      <c r="A131" s="98" t="s">
        <v>4</v>
      </c>
      <c r="B131" s="98" t="s">
        <v>420</v>
      </c>
      <c r="C131" s="98" t="s">
        <v>438</v>
      </c>
      <c r="D131" s="169">
        <v>15880000</v>
      </c>
      <c r="E131" s="101" t="s">
        <v>422</v>
      </c>
      <c r="F131" s="98"/>
      <c r="G131" s="98"/>
      <c r="H131" s="101" t="s">
        <v>195</v>
      </c>
      <c r="I131" s="99">
        <v>100</v>
      </c>
      <c r="J131" s="101" t="s">
        <v>213</v>
      </c>
      <c r="K131" s="99">
        <v>100</v>
      </c>
      <c r="L131" s="98"/>
      <c r="M131" s="99">
        <v>50</v>
      </c>
      <c r="N131" s="98"/>
      <c r="O131" s="98" t="s">
        <v>138</v>
      </c>
      <c r="P131" s="98" t="str">
        <f t="shared" si="7"/>
        <v>N5|En seguimiento</v>
      </c>
      <c r="Q131" s="98" t="s">
        <v>139</v>
      </c>
      <c r="R131" s="98" t="str">
        <f>TRIM(tbl_BasePowerBI[[#This Row],[NOMBRE EJECUTIVO]])</f>
        <v>Raul Herrera</v>
      </c>
      <c r="S131" s="98" t="s">
        <v>196</v>
      </c>
      <c r="T131" s="100">
        <v>46267</v>
      </c>
      <c r="U131" s="100">
        <v>46267</v>
      </c>
      <c r="V131" s="197" t="s">
        <v>439</v>
      </c>
      <c r="W131" s="169">
        <v>15880000</v>
      </c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K131" s="97" t="s">
        <v>198</v>
      </c>
      <c r="AN131" s="97" t="inlineStr">
        <is>
          <t>Viajes</t>
        </is>
      </c>
    </row>
    <row r="132" spans="1:40" ht="30" customHeight="1">
      <c r="A132" s="109" t="s">
        <v>4</v>
      </c>
      <c r="B132" s="109" t="s">
        <v>413</v>
      </c>
      <c r="C132" s="109" t="s">
        <v>440</v>
      </c>
      <c r="D132" s="139">
        <v>8000000</v>
      </c>
      <c r="E132" s="108" t="s">
        <v>441</v>
      </c>
      <c r="F132" s="109"/>
      <c r="G132" s="109"/>
      <c r="H132" s="121" t="s">
        <v>195</v>
      </c>
      <c r="I132" s="111">
        <v>100</v>
      </c>
      <c r="J132" s="121" t="s">
        <v>213</v>
      </c>
      <c r="K132" s="111">
        <v>100</v>
      </c>
      <c r="L132" s="109"/>
      <c r="M132" s="111">
        <v>50</v>
      </c>
      <c r="N132" s="109"/>
      <c r="O132" s="109" t="s">
        <v>138</v>
      </c>
      <c r="P132" s="109" t="str">
        <f t="shared" si="7"/>
        <v>N5|En seguimiento</v>
      </c>
      <c r="Q132" s="109" t="s">
        <v>139</v>
      </c>
      <c r="R132" s="109" t="str">
        <f>TRIM(tbl_BasePowerBI[[#This Row],[NOMBRE EJECUTIVO]])</f>
        <v>Carol Beltan</v>
      </c>
      <c r="S132" s="109" t="s">
        <v>172</v>
      </c>
      <c r="T132" s="122">
        <v>46210</v>
      </c>
      <c r="U132" s="122">
        <v>46210</v>
      </c>
      <c r="V132" s="162" t="s">
        <v>442</v>
      </c>
      <c r="W132" s="170">
        <v>8500000</v>
      </c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K132" s="97" t="s">
        <v>188</v>
      </c>
      <c r="AN132" s="97" t="inlineStr">
        <is>
          <t>Banca</t>
        </is>
      </c>
    </row>
    <row r="133" spans="1:40" ht="30" customHeight="1">
      <c r="A133" s="109" t="s">
        <v>4</v>
      </c>
      <c r="B133" s="109" t="s">
        <v>413</v>
      </c>
      <c r="C133" s="140" t="s">
        <v>443</v>
      </c>
      <c r="D133" s="139">
        <v>40000000</v>
      </c>
      <c r="E133" s="140" t="s">
        <v>444</v>
      </c>
      <c r="F133" s="109"/>
      <c r="G133" s="109"/>
      <c r="H133" s="121" t="s">
        <v>195</v>
      </c>
      <c r="I133" s="111">
        <v>100</v>
      </c>
      <c r="J133" s="121" t="s">
        <v>213</v>
      </c>
      <c r="K133" s="111">
        <v>50</v>
      </c>
      <c r="L133" s="109"/>
      <c r="M133" s="111">
        <v>50</v>
      </c>
      <c r="N133" s="109"/>
      <c r="O133" s="109" t="s">
        <v>138</v>
      </c>
      <c r="P133" s="109" t="str">
        <f t="shared" si="7"/>
        <v>N5|En seguimiento</v>
      </c>
      <c r="Q133" s="109" t="s">
        <v>139</v>
      </c>
      <c r="R133" s="109" t="str">
        <f>TRIM(tbl_BasePowerBI[[#This Row],[NOMBRE EJECUTIVO]])</f>
        <v>Carol Beltan</v>
      </c>
      <c r="S133" s="109" t="s">
        <v>172</v>
      </c>
      <c r="T133" s="122">
        <v>46213</v>
      </c>
      <c r="U133" s="122">
        <v>46218</v>
      </c>
      <c r="V133" s="162" t="s">
        <v>445</v>
      </c>
      <c r="W133" s="170">
        <v>45000000</v>
      </c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K133" s="97" t="s">
        <v>178</v>
      </c>
      <c r="AN133" s="97" t="inlineStr">
        <is>
          <t>Consumo Masivo</t>
        </is>
      </c>
    </row>
    <row r="134" spans="1:40" ht="51.95" customHeight="1">
      <c r="A134" s="109" t="s">
        <v>4</v>
      </c>
      <c r="B134" s="109" t="s">
        <v>394</v>
      </c>
      <c r="C134" s="109" t="s">
        <v>446</v>
      </c>
      <c r="D134" s="139">
        <v>48000000</v>
      </c>
      <c r="E134" s="109" t="s">
        <v>447</v>
      </c>
      <c r="F134" s="109"/>
      <c r="G134" s="109"/>
      <c r="H134" s="109" t="s">
        <v>195</v>
      </c>
      <c r="I134" s="111">
        <v>100</v>
      </c>
      <c r="J134" s="109" t="s">
        <v>213</v>
      </c>
      <c r="K134" s="111">
        <v>50</v>
      </c>
      <c r="L134" s="109"/>
      <c r="M134" s="111">
        <v>50</v>
      </c>
      <c r="N134" s="109"/>
      <c r="O134" s="109" t="s">
        <v>307</v>
      </c>
      <c r="P134" s="109" t="str">
        <f t="shared" si="7"/>
        <v>N5|Por cerrar</v>
      </c>
      <c r="Q134" s="109" t="s">
        <v>139</v>
      </c>
      <c r="R134" s="109" t="str">
        <f>TRIM(tbl_BasePowerBI[[#This Row],[NOMBRE EJECUTIVO]])</f>
        <v>Luz Karime Hernandez</v>
      </c>
      <c r="S134" s="109" t="s">
        <v>172</v>
      </c>
      <c r="T134" s="122">
        <v>46220</v>
      </c>
      <c r="U134" s="122">
        <v>46220</v>
      </c>
      <c r="V134" s="162" t="s">
        <v>448</v>
      </c>
      <c r="W134" s="170">
        <v>48000000</v>
      </c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K134" s="97" t="s">
        <v>188</v>
      </c>
      <c r="AN134" s="97" t="inlineStr">
        <is>
          <t>Tecnología</t>
        </is>
      </c>
    </row>
    <row r="135" spans="1:40" ht="30" customHeight="1">
      <c r="A135" s="109" t="s">
        <v>3</v>
      </c>
      <c r="B135" s="109" t="s">
        <v>355</v>
      </c>
      <c r="C135" s="109" t="s">
        <v>449</v>
      </c>
      <c r="D135" s="139">
        <v>42000000</v>
      </c>
      <c r="E135" s="109" t="s">
        <v>450</v>
      </c>
      <c r="F135" s="109"/>
      <c r="G135" s="109"/>
      <c r="H135" s="141" t="s">
        <v>195</v>
      </c>
      <c r="I135" s="111">
        <v>100</v>
      </c>
      <c r="J135" s="141" t="s">
        <v>213</v>
      </c>
      <c r="K135" s="111">
        <v>100</v>
      </c>
      <c r="L135" s="109" t="s">
        <v>451</v>
      </c>
      <c r="M135" s="111">
        <v>50</v>
      </c>
      <c r="N135" s="109"/>
      <c r="O135" s="109" t="s">
        <v>138</v>
      </c>
      <c r="P135" s="109" t="str">
        <f>A135&amp;"|"&amp;O135</f>
        <v>N4|En seguimiento</v>
      </c>
      <c r="Q135" s="109" t="s">
        <v>139</v>
      </c>
      <c r="R135" s="109" t="str">
        <f>TRIM(tbl_BasePowerBI[[#This Row],[NOMBRE EJECUTIVO]])</f>
        <v>Karen Perez</v>
      </c>
      <c r="S135" s="109" t="s">
        <v>172</v>
      </c>
      <c r="T135" s="112">
        <v>46226</v>
      </c>
      <c r="U135" s="112">
        <v>46227</v>
      </c>
      <c r="V135" s="163" t="s">
        <v>452</v>
      </c>
      <c r="W135" s="170">
        <v>40000000</v>
      </c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K135" s="97" t="s">
        <v>178</v>
      </c>
      <c r="AN135" s="97" t="inlineStr">
        <is>
          <t>Inmobiliario</t>
        </is>
      </c>
    </row>
    <row r="136" spans="1:40" ht="30" customHeight="1">
      <c r="A136" s="109" t="s">
        <v>3</v>
      </c>
      <c r="B136" s="109" t="s">
        <v>363</v>
      </c>
      <c r="C136" s="109" t="s">
        <v>453</v>
      </c>
      <c r="D136" s="137">
        <v>28800000</v>
      </c>
      <c r="E136" s="121" t="s">
        <v>454</v>
      </c>
      <c r="F136" s="109"/>
      <c r="G136" s="109"/>
      <c r="H136" s="141" t="s">
        <v>195</v>
      </c>
      <c r="I136" s="111">
        <v>100</v>
      </c>
      <c r="J136" s="141" t="s">
        <v>213</v>
      </c>
      <c r="K136" s="111">
        <v>50</v>
      </c>
      <c r="L136" s="109"/>
      <c r="M136" s="111">
        <v>50</v>
      </c>
      <c r="N136" s="109"/>
      <c r="O136" s="109" t="s">
        <v>138</v>
      </c>
      <c r="P136" s="109" t="str">
        <f>A136&amp;"|"&amp;O136</f>
        <v>N4|En seguimiento</v>
      </c>
      <c r="Q136" s="109" t="s">
        <v>139</v>
      </c>
      <c r="R136" s="109" t="str">
        <f>TRIM(tbl_BasePowerBI[[#This Row],[NOMBRE EJECUTIVO]])</f>
        <v>Mauricio Agudelo</v>
      </c>
      <c r="S136" s="109" t="s">
        <v>172</v>
      </c>
      <c r="T136" s="112">
        <v>46226</v>
      </c>
      <c r="U136" s="112">
        <v>46226</v>
      </c>
      <c r="V136" s="164"/>
      <c r="W136" s="170">
        <v>28800000</v>
      </c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K136" s="97" t="s">
        <v>188</v>
      </c>
      <c r="AN136" s="97" t="inlineStr">
        <is>
          <t>Viajes</t>
        </is>
      </c>
    </row>
    <row r="137" spans="1:40" ht="30" customHeight="1">
      <c r="A137" s="109" t="s">
        <v>3</v>
      </c>
      <c r="B137" s="109" t="s">
        <v>363</v>
      </c>
      <c r="C137" s="109" t="s">
        <v>455</v>
      </c>
      <c r="D137" s="137">
        <v>40000000</v>
      </c>
      <c r="E137" s="121" t="s">
        <v>456</v>
      </c>
      <c r="F137" s="109"/>
      <c r="G137" s="109"/>
      <c r="H137" s="141" t="s">
        <v>195</v>
      </c>
      <c r="I137" s="111">
        <v>100</v>
      </c>
      <c r="J137" s="141" t="s">
        <v>213</v>
      </c>
      <c r="K137" s="111">
        <v>51</v>
      </c>
      <c r="L137" s="109"/>
      <c r="M137" s="111">
        <v>50</v>
      </c>
      <c r="N137" s="109"/>
      <c r="O137" s="109" t="s">
        <v>138</v>
      </c>
      <c r="P137" s="109" t="str">
        <f>A137&amp;"|"&amp;O137</f>
        <v>N4|En seguimiento</v>
      </c>
      <c r="Q137" s="109" t="s">
        <v>139</v>
      </c>
      <c r="R137" s="109" t="str">
        <f>TRIM(tbl_BasePowerBI[[#This Row],[NOMBRE EJECUTIVO]])</f>
        <v>Mauricio Agudelo</v>
      </c>
      <c r="S137" s="109" t="s">
        <v>172</v>
      </c>
      <c r="T137" s="112">
        <v>46226</v>
      </c>
      <c r="U137" s="112">
        <v>46226</v>
      </c>
      <c r="V137" s="165" t="s">
        <v>457</v>
      </c>
      <c r="W137" s="170">
        <v>43000000</v>
      </c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K137" s="97" t="s">
        <v>188</v>
      </c>
      <c r="AN137" s="97" t="inlineStr">
        <is>
          <t>Consumo Masivo</t>
        </is>
      </c>
    </row>
    <row r="138" spans="1:40" ht="30" customHeight="1">
      <c r="A138" s="109" t="s">
        <v>3</v>
      </c>
      <c r="B138" s="109" t="s">
        <v>355</v>
      </c>
      <c r="C138" s="109" t="s">
        <v>458</v>
      </c>
      <c r="D138" s="137">
        <v>23568560</v>
      </c>
      <c r="E138" s="121" t="s">
        <v>459</v>
      </c>
      <c r="F138" s="109"/>
      <c r="G138" s="109"/>
      <c r="H138" s="108" t="s">
        <v>195</v>
      </c>
      <c r="I138" s="111">
        <v>100</v>
      </c>
      <c r="J138" s="108" t="s">
        <v>213</v>
      </c>
      <c r="K138" s="111">
        <v>50</v>
      </c>
      <c r="L138" s="109"/>
      <c r="M138" s="111">
        <v>50</v>
      </c>
      <c r="N138" s="109"/>
      <c r="O138" s="109" t="s">
        <v>138</v>
      </c>
      <c r="P138" s="109" t="str">
        <f>A138&amp;"|"&amp;O138</f>
        <v>N4|En seguimiento</v>
      </c>
      <c r="Q138" s="109" t="s">
        <v>139</v>
      </c>
      <c r="R138" s="109" t="str">
        <f>TRIM(tbl_BasePowerBI[[#This Row],[NOMBRE EJECUTIVO]])</f>
        <v>Karen Perez</v>
      </c>
      <c r="S138" s="109" t="s">
        <v>172</v>
      </c>
      <c r="T138" s="112">
        <v>46231</v>
      </c>
      <c r="U138" s="112">
        <v>46233</v>
      </c>
      <c r="V138" s="163" t="s">
        <v>460</v>
      </c>
      <c r="W138" s="170">
        <v>23568560</v>
      </c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K138" s="97" t="s">
        <v>198</v>
      </c>
      <c r="AN138" s="97" t="inlineStr">
        <is>
          <t>Banca</t>
        </is>
      </c>
    </row>
    <row r="139" spans="1:40" ht="30" customHeight="1">
      <c r="A139" s="109" t="s">
        <v>2</v>
      </c>
      <c r="B139" s="109" t="s">
        <v>325</v>
      </c>
      <c r="C139" s="109" t="s">
        <v>461</v>
      </c>
      <c r="D139" s="137">
        <v>31357000</v>
      </c>
      <c r="E139" s="108" t="s">
        <v>462</v>
      </c>
      <c r="F139" s="109"/>
      <c r="G139" s="109"/>
      <c r="H139" s="108" t="s">
        <v>195</v>
      </c>
      <c r="I139" s="111">
        <v>100</v>
      </c>
      <c r="J139" s="108" t="s">
        <v>213</v>
      </c>
      <c r="K139" s="111">
        <v>100</v>
      </c>
      <c r="L139" s="109" t="s">
        <v>463</v>
      </c>
      <c r="M139" s="111">
        <v>100</v>
      </c>
      <c r="N139" s="109"/>
      <c r="O139" s="109" t="s">
        <v>138</v>
      </c>
      <c r="P139" s="109" t="str">
        <f>A139&amp;"|"&amp;O139</f>
        <v>N3|En seguimiento</v>
      </c>
      <c r="Q139" s="109" t="s">
        <v>139</v>
      </c>
      <c r="R139" s="109" t="str">
        <f>TRIM(tbl_BasePowerBI[[#This Row],[NOMBRE EJECUTIVO]])</f>
        <v>Laura Melo</v>
      </c>
      <c r="S139" s="109" t="s">
        <v>196</v>
      </c>
      <c r="T139" s="112">
        <v>46269</v>
      </c>
      <c r="U139" s="112">
        <v>46273</v>
      </c>
      <c r="V139" s="210" t="s">
        <v>464</v>
      </c>
      <c r="W139" s="137">
        <v>31357000</v>
      </c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K139" s="97" t="s">
        <v>198</v>
      </c>
      <c r="AN139" s="97" t="inlineStr">
        <is>
          <t>Entretenimiento</t>
        </is>
      </c>
    </row>
    <row r="140" spans="1:40" ht="30" customHeight="1">
      <c r="A140" s="109" t="s">
        <v>2</v>
      </c>
      <c r="B140" s="101" t="s">
        <v>322</v>
      </c>
      <c r="C140" s="142" t="s">
        <v>465</v>
      </c>
      <c r="D140" s="150">
        <v>42950000</v>
      </c>
      <c r="E140" s="143" t="s">
        <v>466</v>
      </c>
      <c r="F140" s="109"/>
      <c r="G140" s="109"/>
      <c r="H140" s="108" t="s">
        <v>195</v>
      </c>
      <c r="I140" s="111">
        <v>100</v>
      </c>
      <c r="J140" s="108" t="s">
        <v>213</v>
      </c>
      <c r="K140" s="111">
        <v>100</v>
      </c>
      <c r="L140" s="109"/>
      <c r="M140" s="111">
        <v>50</v>
      </c>
      <c r="N140" s="109"/>
      <c r="O140" s="109" t="s">
        <v>138</v>
      </c>
      <c r="P140" s="109" t="str">
        <f>A140&amp;"|"&amp;O140</f>
        <v>N3|En seguimiento</v>
      </c>
      <c r="Q140" s="109" t="s">
        <v>139</v>
      </c>
      <c r="R140" s="109" t="s">
        <v>467</v>
      </c>
      <c r="S140" s="109" t="s">
        <v>172</v>
      </c>
      <c r="T140" s="112">
        <v>46215</v>
      </c>
      <c r="U140" s="112">
        <v>46216</v>
      </c>
      <c r="V140" s="166"/>
      <c r="W140" s="172">
        <v>42950000</v>
      </c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K140" s="97" t="s">
        <v>198</v>
      </c>
      <c r="AN140" s="97" t="inlineStr">
        <is>
          <t>Tecnología</t>
        </is>
      </c>
    </row>
    <row r="141" spans="1:40" ht="30" customHeight="1">
      <c r="A141" s="109" t="s">
        <v>0</v>
      </c>
      <c r="B141" s="101" t="s">
        <v>174</v>
      </c>
      <c r="C141" s="109" t="s">
        <v>468</v>
      </c>
      <c r="D141" s="144">
        <v>20000000</v>
      </c>
      <c r="E141" s="108" t="s">
        <v>469</v>
      </c>
      <c r="F141" s="109"/>
      <c r="G141" s="109"/>
      <c r="H141" s="108" t="s">
        <v>195</v>
      </c>
      <c r="I141" s="111">
        <v>100</v>
      </c>
      <c r="J141" s="108" t="s">
        <v>213</v>
      </c>
      <c r="K141" s="111">
        <v>50</v>
      </c>
      <c r="L141" s="109"/>
      <c r="M141" s="111">
        <v>50</v>
      </c>
      <c r="N141" s="109"/>
      <c r="O141" s="109" t="s">
        <v>138</v>
      </c>
      <c r="P141" s="109" t="str">
        <f>A141&amp;"|"&amp;O141</f>
        <v>N1|En seguimiento</v>
      </c>
      <c r="Q141" s="109" t="s">
        <v>139</v>
      </c>
      <c r="R141" s="109" t="str">
        <f>TRIM(tbl_BasePowerBI[[#This Row],[NOMBRE EJECUTIVO]])</f>
        <v>Andrea Morales</v>
      </c>
      <c r="S141" s="109" t="s">
        <v>205</v>
      </c>
      <c r="T141" s="112">
        <v>46238</v>
      </c>
      <c r="U141" s="112">
        <v>46238</v>
      </c>
      <c r="V141" s="164"/>
      <c r="W141" s="173">
        <v>20000000</v>
      </c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K141" s="97" t="s">
        <v>198</v>
      </c>
      <c r="AN141" s="97" t="inlineStr">
        <is>
          <t>Seguros</t>
        </is>
      </c>
    </row>
    <row r="142" spans="1:40" ht="30" customHeight="1">
      <c r="A142" s="109" t="s">
        <v>4</v>
      </c>
      <c r="B142" s="109" t="s">
        <v>403</v>
      </c>
      <c r="C142" s="109" t="s">
        <v>470</v>
      </c>
      <c r="D142" s="137">
        <v>52275000</v>
      </c>
      <c r="E142" s="108" t="s">
        <v>471</v>
      </c>
      <c r="F142" s="109"/>
      <c r="G142" s="109"/>
      <c r="H142" s="108" t="s">
        <v>195</v>
      </c>
      <c r="I142" s="111">
        <v>100</v>
      </c>
      <c r="J142" s="108" t="s">
        <v>213</v>
      </c>
      <c r="K142" s="111">
        <v>50</v>
      </c>
      <c r="L142" s="109"/>
      <c r="M142" s="111">
        <v>50</v>
      </c>
      <c r="N142" s="109"/>
      <c r="O142" s="109" t="s">
        <v>138</v>
      </c>
      <c r="P142" s="109" t="str">
        <f>A142&amp;"|"&amp;O142</f>
        <v>N5|En seguimiento</v>
      </c>
      <c r="Q142" s="109" t="s">
        <v>139</v>
      </c>
      <c r="R142" s="109" t="str">
        <f>TRIM(tbl_BasePowerBI[[#This Row],[NOMBRE EJECUTIVO]])</f>
        <v>Ana Maria Castañeda</v>
      </c>
      <c r="S142" s="109" t="s">
        <v>205</v>
      </c>
      <c r="T142" s="112">
        <v>46252</v>
      </c>
      <c r="U142" s="112">
        <v>46252</v>
      </c>
      <c r="V142" s="210" t="s">
        <v>472</v>
      </c>
      <c r="W142" s="137">
        <v>52275000</v>
      </c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K142" s="97" t="s">
        <v>198</v>
      </c>
      <c r="AN142" s="97" t="inlineStr">
        <is>
          <t>Consumo Masivo</t>
        </is>
      </c>
    </row>
    <row r="143" spans="1:40" ht="30" customHeight="1">
      <c r="A143" s="109" t="s">
        <v>4</v>
      </c>
      <c r="B143" s="109" t="s">
        <v>394</v>
      </c>
      <c r="C143" s="109" t="s">
        <v>473</v>
      </c>
      <c r="D143" s="137">
        <v>15000000</v>
      </c>
      <c r="E143" s="108" t="s">
        <v>471</v>
      </c>
      <c r="F143" s="109"/>
      <c r="G143" s="109"/>
      <c r="H143" s="108" t="s">
        <v>195</v>
      </c>
      <c r="I143" s="111">
        <v>100</v>
      </c>
      <c r="J143" s="108" t="s">
        <v>213</v>
      </c>
      <c r="K143" s="111">
        <v>50</v>
      </c>
      <c r="L143" s="109"/>
      <c r="M143" s="111">
        <v>50</v>
      </c>
      <c r="N143" s="109"/>
      <c r="O143" s="109" t="s">
        <v>138</v>
      </c>
      <c r="P143" s="109" t="str">
        <f>A143&amp;"|"&amp;O143</f>
        <v>N5|En seguimiento</v>
      </c>
      <c r="Q143" s="109" t="s">
        <v>139</v>
      </c>
      <c r="R143" s="109" t="str">
        <f>TRIM(tbl_BasePowerBI[[#This Row],[NOMBRE EJECUTIVO]])</f>
        <v>Luz Karime Hernandez</v>
      </c>
      <c r="S143" s="109" t="s">
        <v>205</v>
      </c>
      <c r="T143" s="112">
        <v>46252</v>
      </c>
      <c r="U143" s="112">
        <v>46252</v>
      </c>
      <c r="V143" s="210" t="s">
        <v>474</v>
      </c>
      <c r="W143" s="137">
        <v>15000000</v>
      </c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K143" s="97" t="s">
        <v>198</v>
      </c>
      <c r="AM143" s="128"/>
      <c r="AN143" s="97" t="inlineStr">
        <is>
          <t>Consumo Masivo</t>
        </is>
      </c>
    </row>
    <row r="144" spans="1:40" ht="30" customHeight="1">
      <c r="A144" s="98" t="s">
        <v>4</v>
      </c>
      <c r="B144" s="98" t="s">
        <v>394</v>
      </c>
      <c r="C144" s="123" t="s">
        <v>475</v>
      </c>
      <c r="D144" s="145">
        <v>35442850</v>
      </c>
      <c r="E144" s="124" t="s">
        <v>469</v>
      </c>
      <c r="F144" s="98"/>
      <c r="G144" s="98"/>
      <c r="H144" s="101" t="s">
        <v>195</v>
      </c>
      <c r="I144" s="99">
        <v>100</v>
      </c>
      <c r="J144" s="101" t="s">
        <v>213</v>
      </c>
      <c r="K144" s="99">
        <v>50</v>
      </c>
      <c r="L144" s="98"/>
      <c r="M144" s="99">
        <v>50</v>
      </c>
      <c r="N144" s="98"/>
      <c r="O144" s="98" t="s">
        <v>138</v>
      </c>
      <c r="P144" s="98" t="str">
        <f>A144&amp;"|"&amp;O144</f>
        <v>N5|En seguimiento</v>
      </c>
      <c r="Q144" s="98" t="s">
        <v>139</v>
      </c>
      <c r="R144" s="125" t="str">
        <f>B144</f>
        <v>Luz Karime Hernandez</v>
      </c>
      <c r="S144" s="125" t="s">
        <v>205</v>
      </c>
      <c r="T144" s="106">
        <v>46253</v>
      </c>
      <c r="U144" s="106">
        <v>46254</v>
      </c>
      <c r="V144" s="210" t="s">
        <v>476</v>
      </c>
      <c r="W144" s="174">
        <v>35442850</v>
      </c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K144" s="97" t="s">
        <v>198</v>
      </c>
      <c r="AM144" s="128"/>
      <c r="AN144" s="97" t="inlineStr">
        <is>
          <t>Tecnología</t>
        </is>
      </c>
    </row>
    <row r="145" spans="1:40" ht="30" customHeight="1">
      <c r="A145" s="98" t="s">
        <v>1</v>
      </c>
      <c r="B145" s="109" t="s">
        <v>273</v>
      </c>
      <c r="C145" s="123" t="s">
        <v>477</v>
      </c>
      <c r="D145" s="180">
        <v>243000000</v>
      </c>
      <c r="E145" s="124" t="s">
        <v>469</v>
      </c>
      <c r="F145" s="98"/>
      <c r="G145" s="98"/>
      <c r="H145" s="101" t="s">
        <v>195</v>
      </c>
      <c r="I145" s="99">
        <v>100</v>
      </c>
      <c r="J145" s="101" t="s">
        <v>213</v>
      </c>
      <c r="K145" s="99">
        <v>50</v>
      </c>
      <c r="L145" s="98"/>
      <c r="M145" s="99">
        <v>50</v>
      </c>
      <c r="N145" s="98"/>
      <c r="O145" s="98" t="s">
        <v>138</v>
      </c>
      <c r="P145" s="98" t="str">
        <f>A145&amp;"|"&amp;O145</f>
        <v>N2|En seguimiento</v>
      </c>
      <c r="Q145" s="98" t="s">
        <v>139</v>
      </c>
      <c r="R145" s="125" t="str">
        <f>B145</f>
        <v>Luisa Escobar</v>
      </c>
      <c r="S145" s="125" t="s">
        <v>205</v>
      </c>
      <c r="T145" s="106">
        <v>46253</v>
      </c>
      <c r="U145" s="106">
        <v>46253</v>
      </c>
      <c r="V145" s="210" t="s">
        <v>478</v>
      </c>
      <c r="W145" s="180">
        <v>243000000</v>
      </c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K145" s="97" t="s">
        <v>198</v>
      </c>
      <c r="AM145" s="128"/>
      <c r="AN145" s="97" t="inlineStr">
        <is>
          <t>Tecnología</t>
        </is>
      </c>
    </row>
    <row r="146" spans="1:40" ht="30" customHeight="1">
      <c r="A146" s="142" t="s">
        <v>3</v>
      </c>
      <c r="B146" s="109" t="s">
        <v>479</v>
      </c>
      <c r="C146" s="178" t="s">
        <v>480</v>
      </c>
      <c r="D146" s="179">
        <v>31500000</v>
      </c>
      <c r="E146" s="143" t="s">
        <v>481</v>
      </c>
      <c r="F146" s="109"/>
      <c r="G146" s="109"/>
      <c r="H146" s="108" t="s">
        <v>195</v>
      </c>
      <c r="I146" s="111">
        <v>100</v>
      </c>
      <c r="J146" s="108" t="s">
        <v>213</v>
      </c>
      <c r="K146" s="111">
        <v>50</v>
      </c>
      <c r="L146" s="109"/>
      <c r="M146" s="111">
        <v>50</v>
      </c>
      <c r="N146" s="109"/>
      <c r="O146" s="109" t="s">
        <v>138</v>
      </c>
      <c r="P146" s="109" t="str">
        <f>A146&amp;"|"&amp;O146</f>
        <v>N4|En seguimiento</v>
      </c>
      <c r="Q146" s="109" t="s">
        <v>139</v>
      </c>
      <c r="R146" s="125" t="str">
        <f>B146</f>
        <v>Luis Lopéz</v>
      </c>
      <c r="S146" s="125" t="s">
        <v>205</v>
      </c>
      <c r="T146" s="112">
        <v>46247</v>
      </c>
      <c r="U146" s="112">
        <v>46254</v>
      </c>
      <c r="V146" s="166"/>
      <c r="W146" s="180">
        <v>31500000</v>
      </c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K146" s="181" t="s">
        <v>198</v>
      </c>
      <c r="AM146" s="128"/>
      <c r="AN146" s="97" t="inlineStr">
        <is>
          <t>Salud</t>
        </is>
      </c>
    </row>
    <row r="147" spans="1:40" ht="30" customHeight="1">
      <c r="A147" s="98" t="s">
        <v>0</v>
      </c>
      <c r="B147" s="98" t="s">
        <v>174</v>
      </c>
      <c r="C147" s="98" t="s">
        <v>219</v>
      </c>
      <c r="D147" s="133">
        <v>80000000</v>
      </c>
      <c r="E147" s="98" t="s">
        <v>482</v>
      </c>
      <c r="F147" s="98"/>
      <c r="G147" s="98"/>
      <c r="H147" s="101" t="s">
        <v>195</v>
      </c>
      <c r="I147" s="99">
        <v>100</v>
      </c>
      <c r="J147" s="101" t="s">
        <v>213</v>
      </c>
      <c r="K147" s="99">
        <v>50</v>
      </c>
      <c r="L147" s="98"/>
      <c r="M147" s="99">
        <v>50</v>
      </c>
      <c r="N147" s="98"/>
      <c r="O147" s="98" t="s">
        <v>138</v>
      </c>
      <c r="P147" s="98" t="str">
        <f t="shared" ref="P147" si="8">A147&amp;"|"&amp;O147</f>
        <v>N1|En seguimiento</v>
      </c>
      <c r="Q147" s="98" t="s">
        <v>139</v>
      </c>
      <c r="R147" s="125" t="str">
        <f>B147</f>
        <v>Andrea Morales</v>
      </c>
      <c r="S147" s="98" t="s">
        <v>205</v>
      </c>
      <c r="T147" s="176">
        <v>46251</v>
      </c>
      <c r="U147" s="176">
        <v>46253</v>
      </c>
      <c r="V147" s="177" t="s">
        <v>483</v>
      </c>
      <c r="W147" s="172">
        <v>87000000</v>
      </c>
      <c r="X147" s="152" t="s">
        <v>484</v>
      </c>
      <c r="Y147" s="152" t="s">
        <v>485</v>
      </c>
      <c r="Z147" s="152" t="s">
        <v>486</v>
      </c>
      <c r="AA147" s="152" t="s">
        <v>487</v>
      </c>
      <c r="AB147" s="152" t="s">
        <v>488</v>
      </c>
      <c r="AC147" s="152" t="s">
        <v>489</v>
      </c>
      <c r="AD147" s="152" t="s">
        <v>490</v>
      </c>
      <c r="AE147" s="152" t="s">
        <v>491</v>
      </c>
      <c r="AF147" s="152" t="s">
        <v>492</v>
      </c>
      <c r="AG147" s="152" t="s">
        <v>493</v>
      </c>
      <c r="AH147" s="152" t="s">
        <v>494</v>
      </c>
      <c r="AI147" s="152" t="s">
        <v>495</v>
      </c>
      <c r="AJ147" s="152" t="s">
        <v>496</v>
      </c>
      <c r="AK147" s="97" t="s">
        <v>188</v>
      </c>
      <c r="AN147" s="97" t="inlineStr">
        <is>
          <t>Automotriz</t>
        </is>
      </c>
    </row>
    <row r="148" spans="1:40" ht="30" customHeight="1">
      <c r="A148" s="98" t="s">
        <v>0</v>
      </c>
      <c r="B148" s="98" t="s">
        <v>497</v>
      </c>
      <c r="C148" s="98" t="s">
        <v>186</v>
      </c>
      <c r="D148" s="133">
        <v>80000000</v>
      </c>
      <c r="E148" s="98" t="s">
        <v>482</v>
      </c>
      <c r="F148" s="98"/>
      <c r="G148" s="98"/>
      <c r="H148" s="101" t="s">
        <v>195</v>
      </c>
      <c r="I148" s="99">
        <v>100</v>
      </c>
      <c r="J148" s="101" t="s">
        <v>213</v>
      </c>
      <c r="K148" s="99">
        <v>50</v>
      </c>
      <c r="L148" s="98"/>
      <c r="M148" s="99">
        <v>50</v>
      </c>
      <c r="N148" s="98"/>
      <c r="O148" s="98" t="s">
        <v>138</v>
      </c>
      <c r="P148" s="98" t="str">
        <f t="shared" ref="P148" si="9">A148&amp;"|"&amp;O148</f>
        <v>N1|En seguimiento</v>
      </c>
      <c r="Q148" s="98" t="s">
        <v>139</v>
      </c>
      <c r="R148" s="125" t="str">
        <f>B148</f>
        <v>Rosa Díaz</v>
      </c>
      <c r="S148" s="98" t="s">
        <v>205</v>
      </c>
      <c r="T148" s="176">
        <v>46239</v>
      </c>
      <c r="U148" s="176">
        <v>46240</v>
      </c>
      <c r="V148" s="177" t="s">
        <v>498</v>
      </c>
      <c r="W148" s="172">
        <v>87000000</v>
      </c>
      <c r="X148" s="152" t="s">
        <v>484</v>
      </c>
      <c r="Y148" s="152" t="s">
        <v>485</v>
      </c>
      <c r="Z148" s="152" t="s">
        <v>486</v>
      </c>
      <c r="AA148" s="152" t="s">
        <v>487</v>
      </c>
      <c r="AB148" s="152" t="s">
        <v>488</v>
      </c>
      <c r="AC148" s="152" t="s">
        <v>489</v>
      </c>
      <c r="AD148" s="152" t="s">
        <v>490</v>
      </c>
      <c r="AE148" s="152" t="s">
        <v>491</v>
      </c>
      <c r="AF148" s="152" t="s">
        <v>492</v>
      </c>
      <c r="AG148" s="152" t="s">
        <v>493</v>
      </c>
      <c r="AH148" s="152" t="s">
        <v>494</v>
      </c>
      <c r="AI148" s="152" t="s">
        <v>495</v>
      </c>
      <c r="AJ148" s="152" t="s">
        <v>496</v>
      </c>
      <c r="AK148" s="97" t="s">
        <v>188</v>
      </c>
      <c r="AN148" s="97" t="inlineStr">
        <is>
          <t>Automotriz</t>
        </is>
      </c>
    </row>
    <row r="149" spans="1:40" ht="30" customHeight="1">
      <c r="A149" s="98" t="s">
        <v>3</v>
      </c>
      <c r="B149" s="98" t="s">
        <v>499</v>
      </c>
      <c r="C149" s="98" t="s">
        <v>500</v>
      </c>
      <c r="D149" s="133">
        <v>35000000</v>
      </c>
      <c r="E149" s="98" t="s">
        <v>501</v>
      </c>
      <c r="F149" s="98"/>
      <c r="G149" s="98"/>
      <c r="H149" s="101" t="s">
        <v>195</v>
      </c>
      <c r="I149" s="99">
        <v>100</v>
      </c>
      <c r="J149" s="101" t="s">
        <v>213</v>
      </c>
      <c r="K149" s="99">
        <v>50</v>
      </c>
      <c r="L149" s="98"/>
      <c r="M149" s="99">
        <v>50</v>
      </c>
      <c r="N149" s="98"/>
      <c r="O149" s="98" t="s">
        <v>138</v>
      </c>
      <c r="P149" s="98" t="str">
        <f t="shared" ref="P149:P152" si="10">A149&amp;"|"&amp;O149</f>
        <v>N4|En seguimiento</v>
      </c>
      <c r="Q149" s="98" t="s">
        <v>139</v>
      </c>
      <c r="R149" s="125" t="str">
        <f>B149</f>
        <v>Karen Pérez</v>
      </c>
      <c r="S149" s="98" t="s">
        <v>205</v>
      </c>
      <c r="T149" s="176">
        <v>46260</v>
      </c>
      <c r="U149" s="176">
        <v>46260</v>
      </c>
      <c r="V149" s="177" t="s">
        <v>502</v>
      </c>
      <c r="W149" s="172">
        <v>36000000</v>
      </c>
      <c r="AK149" s="97" t="s">
        <v>188</v>
      </c>
      <c r="AN149" s="97" t="inlineStr">
        <is>
          <t>Consumo Masivo</t>
        </is>
      </c>
    </row>
    <row r="150" spans="1:40" ht="30" customHeight="1">
      <c r="A150" s="98" t="s">
        <v>2</v>
      </c>
      <c r="B150" s="98" t="s">
        <v>322</v>
      </c>
      <c r="C150" s="98" t="s">
        <v>503</v>
      </c>
      <c r="D150" s="133">
        <v>50000000</v>
      </c>
      <c r="E150" s="98" t="s">
        <v>504</v>
      </c>
      <c r="F150" s="98"/>
      <c r="G150" s="98"/>
      <c r="H150" s="101" t="s">
        <v>195</v>
      </c>
      <c r="I150" s="99">
        <v>100</v>
      </c>
      <c r="J150" s="101" t="s">
        <v>213</v>
      </c>
      <c r="K150" s="99">
        <v>50</v>
      </c>
      <c r="L150" s="98"/>
      <c r="M150" s="99">
        <v>50</v>
      </c>
      <c r="N150" s="98"/>
      <c r="O150" s="98" t="s">
        <v>138</v>
      </c>
      <c r="P150" s="98" t="str">
        <f t="shared" si="10"/>
        <v>N3|En seguimiento</v>
      </c>
      <c r="Q150" s="98" t="s">
        <v>139</v>
      </c>
      <c r="R150" s="125" t="str">
        <f t="shared" ref="R150:R152" si="11">B150</f>
        <v>Elsa Cortez</v>
      </c>
      <c r="S150" s="98" t="s">
        <v>205</v>
      </c>
      <c r="T150" s="176">
        <v>46259</v>
      </c>
      <c r="U150" s="176">
        <v>46259</v>
      </c>
      <c r="V150" s="177" t="s">
        <v>505</v>
      </c>
      <c r="W150" s="172">
        <v>50000000</v>
      </c>
      <c r="AK150" s="97" t="s">
        <v>188</v>
      </c>
      <c r="AN150" s="97" t="inlineStr">
        <is>
          <t>Automotriz</t>
        </is>
      </c>
    </row>
    <row r="151" spans="1:40" ht="30" customHeight="1">
      <c r="A151" s="98" t="s">
        <v>2</v>
      </c>
      <c r="B151" s="98" t="s">
        <v>506</v>
      </c>
      <c r="C151" s="98" t="s">
        <v>507</v>
      </c>
      <c r="D151" s="133">
        <v>20000000</v>
      </c>
      <c r="E151" s="98" t="s">
        <v>508</v>
      </c>
      <c r="F151" s="98"/>
      <c r="G151" s="98"/>
      <c r="H151" s="101" t="s">
        <v>195</v>
      </c>
      <c r="I151" s="99">
        <v>100</v>
      </c>
      <c r="J151" s="101" t="s">
        <v>213</v>
      </c>
      <c r="K151" s="99">
        <v>50</v>
      </c>
      <c r="L151" s="98"/>
      <c r="M151" s="99">
        <v>50</v>
      </c>
      <c r="N151" s="98"/>
      <c r="O151" s="98" t="s">
        <v>138</v>
      </c>
      <c r="P151" s="98" t="str">
        <f t="shared" si="10"/>
        <v>N3|En seguimiento</v>
      </c>
      <c r="Q151" s="98" t="s">
        <v>139</v>
      </c>
      <c r="R151" s="125" t="str">
        <f t="shared" si="11"/>
        <v>Diana Rodriguez</v>
      </c>
      <c r="S151" s="98" t="s">
        <v>205</v>
      </c>
      <c r="T151" s="176">
        <v>46259</v>
      </c>
      <c r="U151" s="176">
        <v>46259</v>
      </c>
      <c r="V151" s="177" t="s">
        <v>509</v>
      </c>
      <c r="W151" s="172">
        <v>20000000</v>
      </c>
      <c r="AK151" s="97" t="s">
        <v>188</v>
      </c>
      <c r="AN151" s="97" t="inlineStr">
        <is>
          <t>Banca</t>
        </is>
      </c>
    </row>
    <row r="152" spans="1:40" ht="30" customHeight="1">
      <c r="A152" s="98" t="s">
        <v>2</v>
      </c>
      <c r="B152" s="98" t="s">
        <v>510</v>
      </c>
      <c r="C152" s="98" t="s">
        <v>511</v>
      </c>
      <c r="D152" s="133">
        <v>50000000</v>
      </c>
      <c r="E152" s="98" t="s">
        <v>512</v>
      </c>
      <c r="F152" s="98"/>
      <c r="G152" s="98"/>
      <c r="H152" s="101" t="s">
        <v>195</v>
      </c>
      <c r="I152" s="99">
        <v>100</v>
      </c>
      <c r="J152" s="101" t="s">
        <v>213</v>
      </c>
      <c r="K152" s="99">
        <v>50</v>
      </c>
      <c r="L152" s="98"/>
      <c r="M152" s="99">
        <v>50</v>
      </c>
      <c r="N152" s="98"/>
      <c r="O152" s="98" t="s">
        <v>138</v>
      </c>
      <c r="P152" s="98" t="str">
        <f t="shared" si="10"/>
        <v>N3|En seguimiento</v>
      </c>
      <c r="Q152" s="98" t="s">
        <v>139</v>
      </c>
      <c r="R152" s="125" t="str">
        <f t="shared" si="11"/>
        <v>Laura Sofía Calvera</v>
      </c>
      <c r="S152" s="98" t="s">
        <v>205</v>
      </c>
      <c r="T152" s="176">
        <v>46258</v>
      </c>
      <c r="U152" s="176">
        <v>46258</v>
      </c>
      <c r="V152" s="177" t="s">
        <v>513</v>
      </c>
      <c r="W152" s="172">
        <v>50000000</v>
      </c>
      <c r="AK152" s="97" t="s">
        <v>188</v>
      </c>
      <c r="AN152" s="97" t="inlineStr">
        <is>
          <t>Viajes</t>
        </is>
      </c>
    </row>
    <row r="153" spans="1:40" ht="30" customHeight="1">
      <c r="A153" s="98" t="s">
        <v>2</v>
      </c>
      <c r="B153" s="98" t="s">
        <v>514</v>
      </c>
      <c r="C153" s="98" t="s">
        <v>515</v>
      </c>
      <c r="D153" s="133">
        <v>100000000</v>
      </c>
      <c r="E153" s="98" t="s">
        <v>516</v>
      </c>
      <c r="F153" s="98"/>
      <c r="G153" s="98"/>
      <c r="H153" s="101" t="s">
        <v>195</v>
      </c>
      <c r="I153" s="99">
        <v>100</v>
      </c>
      <c r="J153" s="101" t="s">
        <v>213</v>
      </c>
      <c r="K153" s="99">
        <v>50</v>
      </c>
      <c r="L153" s="98"/>
      <c r="M153" s="99">
        <v>50</v>
      </c>
      <c r="N153" s="98"/>
      <c r="O153" s="98" t="s">
        <v>138</v>
      </c>
      <c r="P153" s="98" t="str">
        <f t="shared" ref="P153" si="12">A153&amp;"|"&amp;O153</f>
        <v>N3|En seguimiento</v>
      </c>
      <c r="Q153" s="98" t="s">
        <v>139</v>
      </c>
      <c r="R153" s="125" t="str">
        <f t="shared" ref="R153" si="13">B153</f>
        <v>Nicole Hincapié</v>
      </c>
      <c r="S153" s="98" t="s">
        <v>205</v>
      </c>
      <c r="T153" s="176">
        <v>46261</v>
      </c>
      <c r="U153" s="176">
        <v>46261</v>
      </c>
      <c r="V153" s="177" t="s">
        <v>517</v>
      </c>
      <c r="W153" s="172">
        <v>120000000</v>
      </c>
      <c r="AK153" s="97" t="s">
        <v>188</v>
      </c>
      <c r="AN153" s="97" t="inlineStr">
        <is>
          <t>Banca</t>
        </is>
      </c>
    </row>
    <row r="154" spans="1:40" ht="30" customHeight="1">
      <c r="A154" s="98" t="s">
        <v>2</v>
      </c>
      <c r="B154" s="98" t="s">
        <v>309</v>
      </c>
      <c r="C154" s="98" t="s">
        <v>518</v>
      </c>
      <c r="D154" s="133">
        <v>7000000</v>
      </c>
      <c r="E154" s="98" t="s">
        <v>519</v>
      </c>
      <c r="F154" s="98"/>
      <c r="G154" s="98"/>
      <c r="H154" s="101" t="s">
        <v>195</v>
      </c>
      <c r="I154" s="99">
        <v>100</v>
      </c>
      <c r="J154" s="101" t="s">
        <v>213</v>
      </c>
      <c r="K154" s="99">
        <v>50</v>
      </c>
      <c r="L154" s="98"/>
      <c r="M154" s="99">
        <v>50</v>
      </c>
      <c r="N154" s="98"/>
      <c r="O154" s="98" t="s">
        <v>138</v>
      </c>
      <c r="P154" s="98" t="str">
        <f t="shared" ref="P154" si="14">A154&amp;"|"&amp;O154</f>
        <v>N3|En seguimiento</v>
      </c>
      <c r="Q154" s="98" t="s">
        <v>139</v>
      </c>
      <c r="R154" s="125" t="str">
        <f t="shared" ref="R154" si="15">B154</f>
        <v>Helen Fajardo</v>
      </c>
      <c r="S154" s="98" t="s">
        <v>205</v>
      </c>
      <c r="T154" s="176">
        <v>46252</v>
      </c>
      <c r="U154" s="176">
        <v>46267</v>
      </c>
      <c r="V154" s="226" t="s">
        <v>520</v>
      </c>
      <c r="W154" s="172">
        <v>7000000</v>
      </c>
      <c r="AK154" s="97" t="s">
        <v>188</v>
      </c>
      <c r="AN154" s="97" t="inlineStr">
        <is>
          <t>Entretenimiento</t>
        </is>
      </c>
    </row>
    <row r="155" spans="1:40" ht="30" customHeight="1">
      <c r="A155" s="98" t="s">
        <v>146</v>
      </c>
      <c r="B155" s="98" t="s">
        <v>146</v>
      </c>
      <c r="C155" s="98" t="s">
        <v>521</v>
      </c>
      <c r="D155" s="133">
        <v>36000000</v>
      </c>
      <c r="E155" s="98" t="s">
        <v>522</v>
      </c>
      <c r="F155" s="98"/>
      <c r="G155" s="98"/>
      <c r="H155" s="101" t="s">
        <v>195</v>
      </c>
      <c r="I155" s="99">
        <v>100</v>
      </c>
      <c r="J155" s="101" t="s">
        <v>213</v>
      </c>
      <c r="K155" s="99">
        <v>50</v>
      </c>
      <c r="L155" s="98"/>
      <c r="M155" s="99">
        <v>50</v>
      </c>
      <c r="N155" s="98"/>
      <c r="O155" s="98" t="s">
        <v>138</v>
      </c>
      <c r="P155" s="98" t="str">
        <f t="shared" ref="P155" si="16">A155&amp;"|"&amp;O155</f>
        <v>PRODUCTOS GENERALES|En seguimiento</v>
      </c>
      <c r="Q155" s="98" t="s">
        <v>139</v>
      </c>
      <c r="R155" s="125" t="str">
        <f t="shared" ref="R155" si="17">B155</f>
        <v>PRODUCTOS GENERALES</v>
      </c>
      <c r="S155" s="98" t="s">
        <v>196</v>
      </c>
      <c r="T155" s="176">
        <v>46266</v>
      </c>
      <c r="U155" s="176">
        <v>46295</v>
      </c>
      <c r="V155" s="177"/>
      <c r="W155" s="172">
        <v>36000000</v>
      </c>
      <c r="AK155" s="102" t="s">
        <v>142</v>
      </c>
      <c r="AN155" s="97" t="inlineStr">
        <is>
          <t>Otros</t>
        </is>
      </c>
    </row>
    <row r="156" spans="1:40" ht="30" customHeight="1">
      <c r="A156" s="109" t="s">
        <v>146</v>
      </c>
      <c r="B156" s="109" t="s">
        <v>146</v>
      </c>
      <c r="C156" s="109" t="s">
        <v>523</v>
      </c>
      <c r="D156" s="187">
        <v>15000000</v>
      </c>
      <c r="E156" s="109" t="s">
        <v>523</v>
      </c>
      <c r="F156" s="109"/>
      <c r="G156" s="109"/>
      <c r="H156" s="108" t="s">
        <v>195</v>
      </c>
      <c r="I156" s="111">
        <v>100</v>
      </c>
      <c r="J156" s="108" t="s">
        <v>213</v>
      </c>
      <c r="K156" s="111">
        <v>50</v>
      </c>
      <c r="L156" s="109"/>
      <c r="M156" s="111">
        <v>50</v>
      </c>
      <c r="N156" s="109"/>
      <c r="O156" s="109" t="s">
        <v>138</v>
      </c>
      <c r="P156" s="109" t="str">
        <f t="shared" ref="P156:P157" si="18">A156&amp;"|"&amp;O156</f>
        <v>PRODUCTOS GENERALES|En seguimiento</v>
      </c>
      <c r="Q156" s="109" t="s">
        <v>139</v>
      </c>
      <c r="R156" s="125" t="str">
        <f t="shared" ref="R156:R157" si="19">B156</f>
        <v>PRODUCTOS GENERALES</v>
      </c>
      <c r="S156" s="98" t="s">
        <v>196</v>
      </c>
      <c r="T156" s="176">
        <v>46266</v>
      </c>
      <c r="U156" s="176">
        <v>46295</v>
      </c>
      <c r="V156" s="184"/>
      <c r="W156" s="180">
        <v>15000000</v>
      </c>
      <c r="AK156" s="102" t="s">
        <v>142</v>
      </c>
      <c r="AN156" s="97" t="inlineStr">
        <is>
          <t>Otros</t>
        </is>
      </c>
    </row>
    <row r="157" spans="1:40" ht="30" customHeight="1">
      <c r="A157" s="109" t="s">
        <v>3</v>
      </c>
      <c r="B157" s="109" t="s">
        <v>479</v>
      </c>
      <c r="C157" s="109" t="s">
        <v>524</v>
      </c>
      <c r="D157" s="180">
        <v>98960000</v>
      </c>
      <c r="E157" s="98" t="s">
        <v>525</v>
      </c>
      <c r="F157" s="186"/>
      <c r="G157" s="186"/>
      <c r="H157" s="108" t="s">
        <v>195</v>
      </c>
      <c r="I157" s="111">
        <v>100</v>
      </c>
      <c r="J157" s="108" t="s">
        <v>213</v>
      </c>
      <c r="K157" s="111">
        <v>50</v>
      </c>
      <c r="L157" s="109"/>
      <c r="M157" s="111">
        <v>50</v>
      </c>
      <c r="N157" s="109"/>
      <c r="O157" s="109" t="s">
        <v>138</v>
      </c>
      <c r="P157" s="109" t="str">
        <f t="shared" si="18"/>
        <v>N4|En seguimiento</v>
      </c>
      <c r="Q157" s="109" t="s">
        <v>139</v>
      </c>
      <c r="R157" s="125" t="str">
        <f t="shared" si="19"/>
        <v>Luis Lopéz</v>
      </c>
      <c r="S157" s="109" t="s">
        <v>205</v>
      </c>
      <c r="T157" s="183">
        <v>46260</v>
      </c>
      <c r="U157" s="212">
        <v>46260</v>
      </c>
      <c r="V157" s="177"/>
      <c r="W157" s="214">
        <v>98960000</v>
      </c>
      <c r="AK157" s="181" t="s">
        <v>198</v>
      </c>
      <c r="AN157" s="97" t="inlineStr">
        <is>
          <t>Tecnología</t>
        </is>
      </c>
    </row>
    <row r="158" spans="1:40" ht="30" customHeight="1">
      <c r="A158" s="109" t="s">
        <v>4</v>
      </c>
      <c r="B158" s="109" t="s">
        <v>394</v>
      </c>
      <c r="C158" s="109" t="s">
        <v>526</v>
      </c>
      <c r="D158" s="187">
        <v>45100000</v>
      </c>
      <c r="E158" s="109" t="s">
        <v>527</v>
      </c>
      <c r="F158" s="182"/>
      <c r="G158" s="182"/>
      <c r="H158" s="101" t="s">
        <v>195</v>
      </c>
      <c r="I158" s="99">
        <v>100</v>
      </c>
      <c r="J158" s="101" t="s">
        <v>213</v>
      </c>
      <c r="K158" s="99">
        <v>50</v>
      </c>
      <c r="L158" s="98"/>
      <c r="M158" s="99">
        <v>50</v>
      </c>
      <c r="N158" s="98"/>
      <c r="O158" s="98" t="s">
        <v>138</v>
      </c>
      <c r="P158" s="98" t="str">
        <f t="shared" ref="P158" si="20">A158&amp;"|"&amp;O158</f>
        <v>N5|En seguimiento</v>
      </c>
      <c r="Q158" s="98" t="s">
        <v>139</v>
      </c>
      <c r="R158" s="125" t="str">
        <f t="shared" ref="R158" si="21">B158</f>
        <v>Luz Karime Hernandez</v>
      </c>
      <c r="S158" s="98" t="s">
        <v>205</v>
      </c>
      <c r="T158" s="176">
        <v>46261</v>
      </c>
      <c r="U158" s="213">
        <v>46261</v>
      </c>
      <c r="V158" s="211" t="s">
        <v>528</v>
      </c>
      <c r="W158" s="215">
        <v>45100000</v>
      </c>
      <c r="AK158" s="97" t="s">
        <v>198</v>
      </c>
      <c r="AN158" s="97" t="inlineStr">
        <is>
          <t>Otros</t>
        </is>
      </c>
    </row>
    <row r="159" spans="1:40" ht="30" customHeight="1">
      <c r="A159" s="109" t="s">
        <v>4</v>
      </c>
      <c r="B159" s="123" t="s">
        <v>432</v>
      </c>
      <c r="C159" s="98" t="s">
        <v>529</v>
      </c>
      <c r="D159" s="133">
        <v>32440000</v>
      </c>
      <c r="E159" s="98" t="s">
        <v>530</v>
      </c>
      <c r="F159" s="189"/>
      <c r="G159" s="182"/>
      <c r="H159" s="101" t="s">
        <v>195</v>
      </c>
      <c r="I159" s="99">
        <v>100</v>
      </c>
      <c r="J159" s="101" t="s">
        <v>213</v>
      </c>
      <c r="K159" s="99">
        <v>50</v>
      </c>
      <c r="L159" s="98"/>
      <c r="M159" s="99">
        <v>50</v>
      </c>
      <c r="N159" s="98"/>
      <c r="O159" s="98" t="s">
        <v>138</v>
      </c>
      <c r="P159" s="98" t="str">
        <f t="shared" ref="P159" si="22">A159&amp;"|"&amp;O159</f>
        <v>N5|En seguimiento</v>
      </c>
      <c r="Q159" s="98" t="s">
        <v>139</v>
      </c>
      <c r="R159" s="125" t="str">
        <f t="shared" ref="R159" si="23">B159</f>
        <v>Carol Beltran</v>
      </c>
      <c r="S159" s="98" t="s">
        <v>205</v>
      </c>
      <c r="T159" s="176">
        <v>46259</v>
      </c>
      <c r="U159" s="176">
        <v>46262</v>
      </c>
      <c r="V159" s="210" t="s">
        <v>531</v>
      </c>
      <c r="W159" s="133">
        <v>32440000</v>
      </c>
      <c r="AK159" s="97" t="s">
        <v>198</v>
      </c>
      <c r="AN159" s="97" t="inlineStr">
        <is>
          <t>Viajes</t>
        </is>
      </c>
    </row>
    <row r="160" spans="1:40" ht="30" customHeight="1">
      <c r="A160" s="109" t="s">
        <v>4</v>
      </c>
      <c r="B160" s="142" t="s">
        <v>432</v>
      </c>
      <c r="C160" s="98" t="s">
        <v>532</v>
      </c>
      <c r="D160" s="188">
        <v>30000000</v>
      </c>
      <c r="E160" s="98" t="s">
        <v>533</v>
      </c>
      <c r="F160" s="189"/>
      <c r="G160" s="182"/>
      <c r="H160" s="101" t="s">
        <v>195</v>
      </c>
      <c r="I160" s="99">
        <v>100</v>
      </c>
      <c r="J160" s="101" t="s">
        <v>213</v>
      </c>
      <c r="K160" s="99">
        <v>50</v>
      </c>
      <c r="L160" s="98"/>
      <c r="M160" s="99">
        <v>50</v>
      </c>
      <c r="N160" s="98"/>
      <c r="O160" s="98" t="s">
        <v>138</v>
      </c>
      <c r="P160" s="98" t="str">
        <f t="shared" ref="P160" si="24">A160&amp;"|"&amp;O160</f>
        <v>N5|En seguimiento</v>
      </c>
      <c r="Q160" s="98" t="s">
        <v>139</v>
      </c>
      <c r="R160" s="125" t="str">
        <f t="shared" ref="R160" si="25">B160</f>
        <v>Carol Beltran</v>
      </c>
      <c r="S160" s="98" t="s">
        <v>205</v>
      </c>
      <c r="T160" s="176">
        <v>46255</v>
      </c>
      <c r="U160" s="176">
        <v>46255</v>
      </c>
      <c r="V160" s="185"/>
      <c r="W160" s="133">
        <v>30000000</v>
      </c>
      <c r="AK160" s="97" t="s">
        <v>178</v>
      </c>
      <c r="AN160" s="97" t="inlineStr">
        <is>
          <t>Automotriz</t>
        </is>
      </c>
    </row>
    <row r="161" spans="1:40" ht="30" customHeight="1">
      <c r="A161" s="98" t="s">
        <v>146</v>
      </c>
      <c r="B161" s="190" t="s">
        <v>534</v>
      </c>
      <c r="C161" s="191" t="s">
        <v>535</v>
      </c>
      <c r="D161" s="188">
        <v>60000000</v>
      </c>
      <c r="E161" s="98" t="s">
        <v>536</v>
      </c>
      <c r="F161" s="189"/>
      <c r="G161" s="182"/>
      <c r="H161" s="101" t="s">
        <v>195</v>
      </c>
      <c r="I161" s="99">
        <v>100</v>
      </c>
      <c r="J161" s="101" t="s">
        <v>213</v>
      </c>
      <c r="K161" s="99">
        <v>50</v>
      </c>
      <c r="L161" s="98"/>
      <c r="M161" s="99">
        <v>50</v>
      </c>
      <c r="N161" s="98"/>
      <c r="O161" s="98" t="s">
        <v>138</v>
      </c>
      <c r="P161" s="98" t="str">
        <f t="shared" ref="P161" si="26">A161&amp;"|"&amp;O161</f>
        <v>PRODUCTOS GENERALES|En seguimiento</v>
      </c>
      <c r="Q161" s="98" t="s">
        <v>139</v>
      </c>
      <c r="R161" s="125" t="str">
        <f t="shared" ref="R161" si="27">B161</f>
        <v>Susan Castaño</v>
      </c>
      <c r="S161" s="98" t="s">
        <v>205</v>
      </c>
      <c r="T161" s="176">
        <v>46244</v>
      </c>
      <c r="U161" s="176">
        <v>46248</v>
      </c>
      <c r="V161" s="185"/>
      <c r="W161" s="133">
        <v>60000000</v>
      </c>
      <c r="AK161" s="97" t="s">
        <v>188</v>
      </c>
      <c r="AN161" s="97" t="inlineStr">
        <is>
          <t>Banca</t>
        </is>
      </c>
    </row>
    <row r="162" spans="1:40" ht="30" customHeight="1">
      <c r="A162" s="109" t="s">
        <v>4</v>
      </c>
      <c r="B162" s="192" t="s">
        <v>432</v>
      </c>
      <c r="C162" s="193" t="s">
        <v>537</v>
      </c>
      <c r="D162" s="194">
        <v>100000000</v>
      </c>
      <c r="E162" s="109" t="s">
        <v>536</v>
      </c>
      <c r="F162" s="195"/>
      <c r="G162" s="186"/>
      <c r="H162" s="108" t="s">
        <v>195</v>
      </c>
      <c r="I162" s="111">
        <v>100</v>
      </c>
      <c r="J162" s="108" t="s">
        <v>213</v>
      </c>
      <c r="K162" s="111">
        <v>50</v>
      </c>
      <c r="L162" s="109"/>
      <c r="M162" s="111">
        <v>50</v>
      </c>
      <c r="N162" s="109"/>
      <c r="O162" s="109" t="s">
        <v>138</v>
      </c>
      <c r="P162" s="109" t="str">
        <f t="shared" ref="P162" si="28">A162&amp;"|"&amp;O162</f>
        <v>N5|En seguimiento</v>
      </c>
      <c r="Q162" s="109" t="s">
        <v>139</v>
      </c>
      <c r="R162" s="125" t="str">
        <f t="shared" ref="R162" si="29">B162</f>
        <v>Carol Beltran</v>
      </c>
      <c r="S162" s="109" t="s">
        <v>205</v>
      </c>
      <c r="T162" s="183">
        <v>46244</v>
      </c>
      <c r="U162" s="183">
        <v>46246</v>
      </c>
      <c r="V162" s="196"/>
      <c r="W162" s="187">
        <v>80000000</v>
      </c>
      <c r="AK162" s="181" t="s">
        <v>178</v>
      </c>
      <c r="AN162" s="97" t="inlineStr">
        <is>
          <t>Consumo Masivo</t>
        </is>
      </c>
    </row>
    <row r="163" spans="1:40" ht="30" customHeight="1">
      <c r="A163" s="98" t="s">
        <v>4</v>
      </c>
      <c r="B163" s="98" t="s">
        <v>403</v>
      </c>
      <c r="C163" s="98" t="s">
        <v>538</v>
      </c>
      <c r="D163" s="136">
        <v>20000000</v>
      </c>
      <c r="E163" s="101" t="s">
        <v>539</v>
      </c>
      <c r="F163" s="98"/>
      <c r="G163" s="98"/>
      <c r="H163" s="101" t="s">
        <v>195</v>
      </c>
      <c r="I163" s="99">
        <v>100</v>
      </c>
      <c r="J163" s="101" t="s">
        <v>213</v>
      </c>
      <c r="K163" s="99">
        <v>50</v>
      </c>
      <c r="L163" s="98"/>
      <c r="M163" s="99">
        <v>50</v>
      </c>
      <c r="N163" s="98"/>
      <c r="O163" s="98" t="s">
        <v>138</v>
      </c>
      <c r="P163" s="98" t="str">
        <f>A163&amp;"|"&amp;O163</f>
        <v>N5|En seguimiento</v>
      </c>
      <c r="Q163" s="98" t="s">
        <v>139</v>
      </c>
      <c r="R163" s="125" t="str">
        <f>B163</f>
        <v>Ana Maria Castañeda</v>
      </c>
      <c r="S163" s="98" t="s">
        <v>205</v>
      </c>
      <c r="T163" s="106">
        <v>46265</v>
      </c>
      <c r="U163" s="106">
        <v>46265</v>
      </c>
      <c r="V163" s="210" t="s">
        <v>540</v>
      </c>
      <c r="W163" s="136">
        <v>20000000</v>
      </c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K163" s="97" t="s">
        <v>198</v>
      </c>
      <c r="AN163" s="97" t="inlineStr">
        <is>
          <t>Otros</t>
        </is>
      </c>
    </row>
    <row r="164" spans="1:40" ht="30" customHeight="1">
      <c r="A164" s="98" t="s">
        <v>2</v>
      </c>
      <c r="B164" s="98" t="s">
        <v>322</v>
      </c>
      <c r="C164" s="98" t="s">
        <v>541</v>
      </c>
      <c r="D164" s="136">
        <v>15000000</v>
      </c>
      <c r="E164" s="101" t="s">
        <v>542</v>
      </c>
      <c r="F164" s="98"/>
      <c r="G164" s="98"/>
      <c r="H164" s="101" t="s">
        <v>195</v>
      </c>
      <c r="I164" s="99">
        <v>100</v>
      </c>
      <c r="J164" s="101" t="s">
        <v>213</v>
      </c>
      <c r="K164" s="99">
        <v>50</v>
      </c>
      <c r="L164" s="98"/>
      <c r="M164" s="99">
        <v>50</v>
      </c>
      <c r="N164" s="98"/>
      <c r="O164" s="98" t="s">
        <v>138</v>
      </c>
      <c r="P164" s="98" t="str">
        <f>A164&amp;"|"&amp;O164</f>
        <v>N3|En seguimiento</v>
      </c>
      <c r="Q164" s="98" t="s">
        <v>139</v>
      </c>
      <c r="R164" s="125" t="str">
        <f>B164</f>
        <v>Elsa Cortez</v>
      </c>
      <c r="S164" s="109" t="s">
        <v>205</v>
      </c>
      <c r="T164" s="106">
        <v>46238</v>
      </c>
      <c r="U164" s="106">
        <v>46240</v>
      </c>
      <c r="V164" s="155"/>
      <c r="W164" s="136">
        <v>15000000</v>
      </c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K164" s="97" t="s">
        <v>178</v>
      </c>
      <c r="AN164" s="97" t="inlineStr">
        <is>
          <t>Educación</t>
        </is>
      </c>
    </row>
    <row r="165" spans="1:40" ht="30" customHeight="1">
      <c r="A165" s="202" t="s">
        <v>1</v>
      </c>
      <c r="B165" s="203" t="s">
        <v>273</v>
      </c>
      <c r="C165" s="203" t="s">
        <v>543</v>
      </c>
      <c r="D165" s="204">
        <v>35000000</v>
      </c>
      <c r="E165" s="203" t="s">
        <v>544</v>
      </c>
      <c r="F165" s="203"/>
      <c r="G165" s="203"/>
      <c r="H165" s="205" t="s">
        <v>195</v>
      </c>
      <c r="I165" s="206">
        <v>100</v>
      </c>
      <c r="J165" s="205" t="s">
        <v>213</v>
      </c>
      <c r="K165" s="206">
        <v>50</v>
      </c>
      <c r="L165" s="203"/>
      <c r="M165" s="206">
        <v>50</v>
      </c>
      <c r="N165" s="203"/>
      <c r="O165" s="203" t="s">
        <v>229</v>
      </c>
      <c r="P165" s="203" t="str">
        <f>A165&amp;"|"&amp;O165</f>
        <v>N2|Cerrada</v>
      </c>
      <c r="Q165" s="203" t="s">
        <v>139</v>
      </c>
      <c r="R165" s="203" t="str">
        <f>B165</f>
        <v>Luisa Escobar</v>
      </c>
      <c r="S165" s="203" t="s">
        <v>196</v>
      </c>
      <c r="T165" s="207">
        <v>46266</v>
      </c>
      <c r="U165" s="207">
        <v>46283</v>
      </c>
      <c r="V165" s="208"/>
      <c r="W165" s="209">
        <v>35000000</v>
      </c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  <c r="AK165" s="203" t="s">
        <v>178</v>
      </c>
      <c r="AN165" s="97" t="inlineStr">
        <is>
          <t>Consumo Masivo</t>
        </is>
      </c>
    </row>
    <row r="166" spans="1:40" ht="30" customHeight="1">
      <c r="A166" s="198" t="s">
        <v>3</v>
      </c>
      <c r="B166" s="98" t="s">
        <v>358</v>
      </c>
      <c r="C166" s="98" t="s">
        <v>545</v>
      </c>
      <c r="D166" s="201">
        <v>48130000</v>
      </c>
      <c r="E166" s="98" t="s">
        <v>546</v>
      </c>
      <c r="F166" s="98"/>
      <c r="G166" s="98"/>
      <c r="H166" s="101" t="s">
        <v>547</v>
      </c>
      <c r="I166" s="99">
        <v>100</v>
      </c>
      <c r="J166" s="101" t="s">
        <v>547</v>
      </c>
      <c r="K166" s="99">
        <v>100</v>
      </c>
      <c r="L166" s="98" t="s">
        <v>547</v>
      </c>
      <c r="M166" s="99">
        <v>100</v>
      </c>
      <c r="N166" s="98"/>
      <c r="O166" s="98" t="s">
        <v>138</v>
      </c>
      <c r="P166" s="98" t="str">
        <f>A166&amp;"|"&amp;O166</f>
        <v>N4|En seguimiento</v>
      </c>
      <c r="Q166" s="98" t="s">
        <v>139</v>
      </c>
      <c r="R166" s="98" t="str">
        <f>B166</f>
        <v>Valentina Párraga</v>
      </c>
      <c r="S166" s="98" t="s">
        <v>196</v>
      </c>
      <c r="T166" s="106">
        <v>46267</v>
      </c>
      <c r="U166" s="106">
        <v>46268</v>
      </c>
      <c r="V166" s="210" t="s">
        <v>548</v>
      </c>
      <c r="W166" s="136">
        <v>48130000</v>
      </c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K166" s="102" t="s">
        <v>198</v>
      </c>
      <c r="AN166" s="97" t="inlineStr">
        <is>
          <t>Otros</t>
        </is>
      </c>
    </row>
    <row r="167" spans="1:40" s="224" customFormat="1" ht="30" customHeight="1">
      <c r="A167" s="216" t="s">
        <v>3</v>
      </c>
      <c r="B167" s="217" t="s">
        <v>499</v>
      </c>
      <c r="C167" s="217" t="s">
        <v>449</v>
      </c>
      <c r="D167" s="218">
        <v>20000000</v>
      </c>
      <c r="E167" s="217" t="s">
        <v>549</v>
      </c>
      <c r="F167" s="217"/>
      <c r="G167" s="217"/>
      <c r="H167" s="219" t="s">
        <v>195</v>
      </c>
      <c r="I167" s="220">
        <v>100</v>
      </c>
      <c r="J167" s="219" t="s">
        <v>213</v>
      </c>
      <c r="K167" s="220">
        <v>50</v>
      </c>
      <c r="L167" s="217"/>
      <c r="M167" s="220">
        <v>50</v>
      </c>
      <c r="N167" s="217"/>
      <c r="O167" s="203" t="s">
        <v>229</v>
      </c>
      <c r="P167" s="217" t="str">
        <f>A167&amp;"|"&amp;O167</f>
        <v>N4|Cerrada</v>
      </c>
      <c r="Q167" s="217" t="s">
        <v>139</v>
      </c>
      <c r="R167" s="217" t="str">
        <f>B167</f>
        <v>Karen Pérez</v>
      </c>
      <c r="S167" s="217" t="s">
        <v>196</v>
      </c>
      <c r="T167" s="221">
        <v>46261</v>
      </c>
      <c r="U167" s="221">
        <v>46266</v>
      </c>
      <c r="V167" s="222"/>
      <c r="W167" s="223">
        <v>20880002</v>
      </c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85"/>
      <c r="AI167" s="85"/>
      <c r="AJ167" s="85"/>
      <c r="AK167" s="217" t="s">
        <v>178</v>
      </c>
      <c r="AN167" s="97" t="inlineStr">
        <is>
          <t>Inmobiliario</t>
        </is>
      </c>
    </row>
    <row r="168" spans="1:40" ht="30" customHeight="1">
      <c r="A168" s="98" t="s">
        <v>0</v>
      </c>
      <c r="B168" s="98" t="s">
        <v>174</v>
      </c>
      <c r="C168" s="98" t="s">
        <v>550</v>
      </c>
      <c r="D168" s="136">
        <v>40000000</v>
      </c>
      <c r="E168" s="98" t="s">
        <v>551</v>
      </c>
      <c r="F168" s="98"/>
      <c r="G168" s="98"/>
      <c r="H168" s="101" t="s">
        <v>195</v>
      </c>
      <c r="I168" s="99">
        <v>100</v>
      </c>
      <c r="J168" s="101" t="s">
        <v>213</v>
      </c>
      <c r="K168" s="99">
        <v>50</v>
      </c>
      <c r="L168" s="98"/>
      <c r="M168" s="99">
        <v>50</v>
      </c>
      <c r="N168" s="98"/>
      <c r="O168" s="98" t="s">
        <v>138</v>
      </c>
      <c r="P168" s="98" t="str">
        <f>A168&amp;"|"&amp;O168</f>
        <v>N1|En seguimiento</v>
      </c>
      <c r="Q168" s="98" t="s">
        <v>139</v>
      </c>
      <c r="R168" s="125" t="str">
        <f>B168</f>
        <v>Andrea Morales</v>
      </c>
      <c r="S168" s="98" t="s">
        <v>196</v>
      </c>
      <c r="T168" s="176">
        <v>46268</v>
      </c>
      <c r="U168" s="176">
        <v>46268</v>
      </c>
      <c r="V168" s="177" t="s">
        <v>552</v>
      </c>
      <c r="W168" s="172">
        <v>42000000</v>
      </c>
      <c r="X168" s="152" t="s">
        <v>484</v>
      </c>
      <c r="Y168" s="152" t="s">
        <v>485</v>
      </c>
      <c r="Z168" s="152" t="s">
        <v>486</v>
      </c>
      <c r="AA168" s="152" t="s">
        <v>487</v>
      </c>
      <c r="AB168" s="152" t="s">
        <v>488</v>
      </c>
      <c r="AC168" s="152" t="s">
        <v>489</v>
      </c>
      <c r="AD168" s="152" t="s">
        <v>490</v>
      </c>
      <c r="AE168" s="152" t="s">
        <v>491</v>
      </c>
      <c r="AF168" s="152" t="s">
        <v>492</v>
      </c>
      <c r="AG168" s="152" t="s">
        <v>493</v>
      </c>
      <c r="AH168" s="152" t="s">
        <v>494</v>
      </c>
      <c r="AI168" s="152" t="s">
        <v>495</v>
      </c>
      <c r="AJ168" s="152" t="s">
        <v>496</v>
      </c>
      <c r="AK168" s="97" t="s">
        <v>188</v>
      </c>
      <c r="AN168" s="97" t="inlineStr">
        <is>
          <t>Automotriz</t>
        </is>
      </c>
    </row>
    <row r="169" spans="1:40" ht="30" customHeight="1">
      <c r="A169" s="98" t="s">
        <v>2</v>
      </c>
      <c r="B169" s="98" t="s">
        <v>510</v>
      </c>
      <c r="C169" s="98" t="s">
        <v>553</v>
      </c>
      <c r="D169" s="136">
        <v>15000000</v>
      </c>
      <c r="E169" s="98" t="s">
        <v>554</v>
      </c>
      <c r="F169" s="98"/>
      <c r="G169" s="98"/>
      <c r="H169" s="101" t="s">
        <v>195</v>
      </c>
      <c r="I169" s="99">
        <v>100</v>
      </c>
      <c r="J169" s="101" t="s">
        <v>213</v>
      </c>
      <c r="K169" s="99">
        <v>50</v>
      </c>
      <c r="L169" s="98"/>
      <c r="M169" s="99">
        <v>50</v>
      </c>
      <c r="N169" s="98"/>
      <c r="O169" s="98" t="s">
        <v>138</v>
      </c>
      <c r="P169" s="98" t="str">
        <f>A169&amp;"|"&amp;O169</f>
        <v>N3|En seguimiento</v>
      </c>
      <c r="Q169" s="98" t="s">
        <v>139</v>
      </c>
      <c r="R169" s="125" t="str">
        <f>B169</f>
        <v>Laura Sofía Calvera</v>
      </c>
      <c r="S169" s="98" t="s">
        <v>196</v>
      </c>
      <c r="T169" s="176">
        <v>46267</v>
      </c>
      <c r="U169" s="176">
        <v>46268</v>
      </c>
      <c r="V169" s="177" t="s">
        <v>555</v>
      </c>
      <c r="W169" s="172">
        <v>15880000</v>
      </c>
      <c r="X169" s="152" t="s">
        <v>484</v>
      </c>
      <c r="Y169" s="152" t="s">
        <v>485</v>
      </c>
      <c r="Z169" s="152" t="s">
        <v>486</v>
      </c>
      <c r="AA169" s="152" t="s">
        <v>487</v>
      </c>
      <c r="AB169" s="152" t="s">
        <v>488</v>
      </c>
      <c r="AC169" s="152" t="s">
        <v>489</v>
      </c>
      <c r="AD169" s="152" t="s">
        <v>490</v>
      </c>
      <c r="AE169" s="152" t="s">
        <v>491</v>
      </c>
      <c r="AF169" s="152" t="s">
        <v>492</v>
      </c>
      <c r="AG169" s="152" t="s">
        <v>493</v>
      </c>
      <c r="AH169" s="152" t="s">
        <v>494</v>
      </c>
      <c r="AI169" s="152" t="s">
        <v>495</v>
      </c>
      <c r="AJ169" s="152" t="s">
        <v>496</v>
      </c>
      <c r="AK169" s="97" t="s">
        <v>188</v>
      </c>
      <c r="AN169" s="97" t="inlineStr">
        <is>
          <t>Educación</t>
        </is>
      </c>
    </row>
    <row r="170" spans="1:40" ht="30" customHeight="1">
      <c r="A170" s="98" t="s">
        <v>2</v>
      </c>
      <c r="B170" s="98" t="s">
        <v>510</v>
      </c>
      <c r="C170" s="98" t="s">
        <v>511</v>
      </c>
      <c r="D170" s="136">
        <v>40000000</v>
      </c>
      <c r="E170" s="98" t="s">
        <v>556</v>
      </c>
      <c r="F170" s="98"/>
      <c r="G170" s="98"/>
      <c r="H170" s="101" t="s">
        <v>195</v>
      </c>
      <c r="I170" s="99">
        <v>100</v>
      </c>
      <c r="J170" s="101" t="s">
        <v>213</v>
      </c>
      <c r="K170" s="99">
        <v>50</v>
      </c>
      <c r="L170" s="98"/>
      <c r="M170" s="99">
        <v>50</v>
      </c>
      <c r="N170" s="98"/>
      <c r="O170" s="98" t="s">
        <v>138</v>
      </c>
      <c r="P170" s="98" t="str">
        <f>A170&amp;"|"&amp;O170</f>
        <v>N3|En seguimiento</v>
      </c>
      <c r="Q170" s="98" t="s">
        <v>139</v>
      </c>
      <c r="R170" s="125" t="str">
        <f>B170</f>
        <v>Laura Sofía Calvera</v>
      </c>
      <c r="S170" s="98" t="s">
        <v>196</v>
      </c>
      <c r="T170" s="176">
        <v>46268</v>
      </c>
      <c r="U170" s="176">
        <v>46268</v>
      </c>
      <c r="V170" s="177" t="s">
        <v>557</v>
      </c>
      <c r="W170" s="172">
        <v>44665000</v>
      </c>
      <c r="X170" s="152" t="s">
        <v>484</v>
      </c>
      <c r="Y170" s="152" t="s">
        <v>485</v>
      </c>
      <c r="Z170" s="152" t="s">
        <v>486</v>
      </c>
      <c r="AA170" s="152" t="s">
        <v>487</v>
      </c>
      <c r="AB170" s="152" t="s">
        <v>488</v>
      </c>
      <c r="AC170" s="152" t="s">
        <v>489</v>
      </c>
      <c r="AD170" s="152" t="s">
        <v>490</v>
      </c>
      <c r="AE170" s="152" t="s">
        <v>491</v>
      </c>
      <c r="AF170" s="152" t="s">
        <v>492</v>
      </c>
      <c r="AG170" s="152" t="s">
        <v>493</v>
      </c>
      <c r="AH170" s="152" t="s">
        <v>494</v>
      </c>
      <c r="AI170" s="152" t="s">
        <v>495</v>
      </c>
      <c r="AJ170" s="152" t="s">
        <v>496</v>
      </c>
      <c r="AK170" s="97" t="s">
        <v>188</v>
      </c>
      <c r="AN170" s="97" t="inlineStr">
        <is>
          <t>Viajes</t>
        </is>
      </c>
    </row>
    <row r="171" spans="1:40" ht="30" customHeight="1">
      <c r="A171" s="98" t="s">
        <v>2</v>
      </c>
      <c r="B171" s="98" t="s">
        <v>510</v>
      </c>
      <c r="C171" s="98" t="s">
        <v>558</v>
      </c>
      <c r="D171" s="136">
        <v>65000000</v>
      </c>
      <c r="E171" s="98" t="s">
        <v>559</v>
      </c>
      <c r="F171" s="98"/>
      <c r="G171" s="98"/>
      <c r="H171" s="101" t="s">
        <v>195</v>
      </c>
      <c r="I171" s="99">
        <v>100</v>
      </c>
      <c r="J171" s="101" t="s">
        <v>213</v>
      </c>
      <c r="K171" s="99">
        <v>50</v>
      </c>
      <c r="L171" s="98"/>
      <c r="M171" s="99">
        <v>50</v>
      </c>
      <c r="N171" s="98"/>
      <c r="O171" s="98" t="s">
        <v>138</v>
      </c>
      <c r="P171" s="98" t="str">
        <f>A171&amp;"|"&amp;O171</f>
        <v>N3|En seguimiento</v>
      </c>
      <c r="Q171" s="98" t="s">
        <v>139</v>
      </c>
      <c r="R171" s="125" t="str">
        <f>B171</f>
        <v>Laura Sofía Calvera</v>
      </c>
      <c r="S171" s="98" t="s">
        <v>196</v>
      </c>
      <c r="T171" s="176">
        <v>46268</v>
      </c>
      <c r="U171" s="176">
        <v>46268</v>
      </c>
      <c r="V171" s="177" t="s">
        <v>560</v>
      </c>
      <c r="W171" s="172">
        <v>69504000</v>
      </c>
      <c r="X171" s="152" t="s">
        <v>484</v>
      </c>
      <c r="Y171" s="152" t="s">
        <v>485</v>
      </c>
      <c r="Z171" s="152" t="s">
        <v>486</v>
      </c>
      <c r="AA171" s="152" t="s">
        <v>487</v>
      </c>
      <c r="AB171" s="152" t="s">
        <v>488</v>
      </c>
      <c r="AC171" s="152" t="s">
        <v>489</v>
      </c>
      <c r="AD171" s="152" t="s">
        <v>490</v>
      </c>
      <c r="AE171" s="152" t="s">
        <v>491</v>
      </c>
      <c r="AF171" s="152" t="s">
        <v>492</v>
      </c>
      <c r="AG171" s="152" t="s">
        <v>493</v>
      </c>
      <c r="AH171" s="152" t="s">
        <v>494</v>
      </c>
      <c r="AI171" s="152" t="s">
        <v>495</v>
      </c>
      <c r="AJ171" s="152" t="s">
        <v>496</v>
      </c>
      <c r="AK171" s="97" t="s">
        <v>188</v>
      </c>
      <c r="AN171" s="97" t="inlineStr">
        <is>
          <t>Consumo Masivo</t>
        </is>
      </c>
    </row>
    <row r="172" spans="1:40" ht="30" customHeight="1">
      <c r="A172" s="98" t="s">
        <v>2</v>
      </c>
      <c r="B172" s="98" t="s">
        <v>506</v>
      </c>
      <c r="C172" s="98" t="s">
        <v>561</v>
      </c>
      <c r="D172" s="136">
        <v>38000000</v>
      </c>
      <c r="E172" s="98" t="s">
        <v>562</v>
      </c>
      <c r="F172" s="98"/>
      <c r="G172" s="98"/>
      <c r="H172" s="101" t="s">
        <v>195</v>
      </c>
      <c r="I172" s="99">
        <v>100</v>
      </c>
      <c r="J172" s="101" t="s">
        <v>213</v>
      </c>
      <c r="K172" s="99">
        <v>50</v>
      </c>
      <c r="L172" s="98"/>
      <c r="M172" s="99">
        <v>50</v>
      </c>
      <c r="N172" s="98"/>
      <c r="O172" s="98" t="s">
        <v>138</v>
      </c>
      <c r="P172" s="98" t="str">
        <f>A172&amp;"|"&amp;O172</f>
        <v>N3|En seguimiento</v>
      </c>
      <c r="Q172" s="98" t="s">
        <v>139</v>
      </c>
      <c r="R172" s="125" t="str">
        <f>B172</f>
        <v>Diana Rodriguez</v>
      </c>
      <c r="S172" s="98" t="s">
        <v>205</v>
      </c>
      <c r="T172" s="176">
        <v>46258</v>
      </c>
      <c r="U172" s="176">
        <v>46262</v>
      </c>
      <c r="V172" s="177" t="s">
        <v>563</v>
      </c>
      <c r="W172" s="172">
        <v>38000000</v>
      </c>
      <c r="X172" s="152" t="s">
        <v>484</v>
      </c>
      <c r="Y172" s="152" t="s">
        <v>485</v>
      </c>
      <c r="Z172" s="152" t="s">
        <v>486</v>
      </c>
      <c r="AA172" s="152" t="s">
        <v>487</v>
      </c>
      <c r="AB172" s="152" t="s">
        <v>488</v>
      </c>
      <c r="AC172" s="152" t="s">
        <v>489</v>
      </c>
      <c r="AD172" s="152" t="s">
        <v>490</v>
      </c>
      <c r="AE172" s="152" t="s">
        <v>491</v>
      </c>
      <c r="AF172" s="152" t="s">
        <v>492</v>
      </c>
      <c r="AG172" s="152" t="s">
        <v>493</v>
      </c>
      <c r="AH172" s="152" t="s">
        <v>494</v>
      </c>
      <c r="AI172" s="152" t="s">
        <v>495</v>
      </c>
      <c r="AJ172" s="152" t="s">
        <v>496</v>
      </c>
      <c r="AK172" s="97" t="s">
        <v>188</v>
      </c>
      <c r="AN172" s="97" t="inlineStr">
        <is>
          <t>Tecnología</t>
        </is>
      </c>
    </row>
    <row r="173" spans="1:40" ht="30" customHeight="1">
      <c r="A173" s="98" t="s">
        <v>4</v>
      </c>
      <c r="B173" s="98" t="s">
        <v>394</v>
      </c>
      <c r="C173" s="98" t="s">
        <v>564</v>
      </c>
      <c r="D173" s="136">
        <v>40000000</v>
      </c>
      <c r="E173" s="98" t="s">
        <v>551</v>
      </c>
      <c r="F173" s="98"/>
      <c r="G173" s="98"/>
      <c r="H173" s="101" t="s">
        <v>195</v>
      </c>
      <c r="I173" s="99">
        <v>100</v>
      </c>
      <c r="J173" s="101" t="s">
        <v>213</v>
      </c>
      <c r="K173" s="99">
        <v>50</v>
      </c>
      <c r="L173" s="98"/>
      <c r="M173" s="99">
        <v>50</v>
      </c>
      <c r="N173" s="98"/>
      <c r="O173" s="98" t="s">
        <v>138</v>
      </c>
      <c r="P173" s="98" t="str">
        <f>A173&amp;"|"&amp;O173</f>
        <v>N5|En seguimiento</v>
      </c>
      <c r="Q173" s="98" t="s">
        <v>139</v>
      </c>
      <c r="R173" s="125" t="str">
        <f>B173</f>
        <v>Luz Karime Hernandez</v>
      </c>
      <c r="S173" s="98" t="s">
        <v>196</v>
      </c>
      <c r="T173" s="176">
        <v>46266</v>
      </c>
      <c r="U173" s="176">
        <v>46266</v>
      </c>
      <c r="V173" s="177" t="s">
        <v>565</v>
      </c>
      <c r="W173" s="172">
        <v>42000000</v>
      </c>
      <c r="X173" s="152" t="s">
        <v>484</v>
      </c>
      <c r="Y173" s="152" t="s">
        <v>485</v>
      </c>
      <c r="Z173" s="152" t="s">
        <v>486</v>
      </c>
      <c r="AA173" s="152" t="s">
        <v>487</v>
      </c>
      <c r="AB173" s="152" t="s">
        <v>488</v>
      </c>
      <c r="AC173" s="152" t="s">
        <v>489</v>
      </c>
      <c r="AD173" s="152" t="s">
        <v>490</v>
      </c>
      <c r="AE173" s="152" t="s">
        <v>491</v>
      </c>
      <c r="AF173" s="152" t="s">
        <v>492</v>
      </c>
      <c r="AG173" s="152" t="s">
        <v>493</v>
      </c>
      <c r="AH173" s="152" t="s">
        <v>494</v>
      </c>
      <c r="AI173" s="152" t="s">
        <v>495</v>
      </c>
      <c r="AJ173" s="152" t="s">
        <v>496</v>
      </c>
      <c r="AK173" s="97" t="s">
        <v>188</v>
      </c>
      <c r="AN173" s="97" t="inlineStr">
        <is>
          <t>Automotriz</t>
        </is>
      </c>
    </row>
    <row r="174" spans="1:40" ht="30" customHeight="1">
      <c r="A174" s="98" t="s">
        <v>3</v>
      </c>
      <c r="B174" s="98" t="s">
        <v>499</v>
      </c>
      <c r="C174" s="98" t="s">
        <v>566</v>
      </c>
      <c r="D174" s="136">
        <v>55000000</v>
      </c>
      <c r="E174" s="98" t="s">
        <v>567</v>
      </c>
      <c r="F174" s="98"/>
      <c r="G174" s="98"/>
      <c r="H174" s="101" t="s">
        <v>195</v>
      </c>
      <c r="I174" s="99">
        <v>100</v>
      </c>
      <c r="J174" s="101" t="s">
        <v>213</v>
      </c>
      <c r="K174" s="99">
        <v>50</v>
      </c>
      <c r="L174" s="98"/>
      <c r="M174" s="99">
        <v>50</v>
      </c>
      <c r="N174" s="98"/>
      <c r="O174" s="98" t="s">
        <v>138</v>
      </c>
      <c r="P174" s="98" t="str">
        <f>A174&amp;"|"&amp;O174</f>
        <v>N4|En seguimiento</v>
      </c>
      <c r="Q174" s="98" t="s">
        <v>139</v>
      </c>
      <c r="R174" s="125" t="str">
        <f>B174</f>
        <v>Karen Pérez</v>
      </c>
      <c r="S174" s="98" t="s">
        <v>196</v>
      </c>
      <c r="T174" s="176">
        <v>46265</v>
      </c>
      <c r="U174" s="176">
        <v>46268</v>
      </c>
      <c r="V174" s="177" t="s">
        <v>568</v>
      </c>
      <c r="W174" s="172">
        <v>57127000</v>
      </c>
      <c r="X174" s="152" t="s">
        <v>484</v>
      </c>
      <c r="Y174" s="152" t="s">
        <v>485</v>
      </c>
      <c r="Z174" s="152" t="s">
        <v>486</v>
      </c>
      <c r="AA174" s="152" t="s">
        <v>487</v>
      </c>
      <c r="AB174" s="152" t="s">
        <v>488</v>
      </c>
      <c r="AC174" s="152" t="s">
        <v>489</v>
      </c>
      <c r="AD174" s="152" t="s">
        <v>490</v>
      </c>
      <c r="AE174" s="152" t="s">
        <v>491</v>
      </c>
      <c r="AF174" s="152" t="s">
        <v>492</v>
      </c>
      <c r="AG174" s="152" t="s">
        <v>493</v>
      </c>
      <c r="AH174" s="152" t="s">
        <v>494</v>
      </c>
      <c r="AI174" s="152" t="s">
        <v>495</v>
      </c>
      <c r="AJ174" s="152" t="s">
        <v>496</v>
      </c>
      <c r="AK174" s="97" t="s">
        <v>188</v>
      </c>
      <c r="AN174" s="97" t="inlineStr">
        <is>
          <t>Banca</t>
        </is>
      </c>
    </row>
    <row r="175" spans="1:40" ht="30" customHeight="1">
      <c r="A175" s="98" t="s">
        <v>2</v>
      </c>
      <c r="B175" s="98" t="s">
        <v>510</v>
      </c>
      <c r="C175" s="98" t="s">
        <v>569</v>
      </c>
      <c r="D175" s="136">
        <v>25000000</v>
      </c>
      <c r="E175" s="98" t="s">
        <v>570</v>
      </c>
      <c r="F175" s="98"/>
      <c r="G175" s="98"/>
      <c r="H175" s="101" t="s">
        <v>195</v>
      </c>
      <c r="I175" s="99">
        <v>100</v>
      </c>
      <c r="J175" s="101" t="s">
        <v>213</v>
      </c>
      <c r="K175" s="99">
        <v>50</v>
      </c>
      <c r="L175" s="98"/>
      <c r="M175" s="99">
        <v>50</v>
      </c>
      <c r="N175" s="98"/>
      <c r="O175" s="98" t="s">
        <v>138</v>
      </c>
      <c r="P175" s="98" t="str">
        <f>A175&amp;"|"&amp;O175</f>
        <v>N3|En seguimiento</v>
      </c>
      <c r="Q175" s="98" t="s">
        <v>139</v>
      </c>
      <c r="R175" s="125" t="str">
        <f>B175</f>
        <v>Laura Sofía Calvera</v>
      </c>
      <c r="S175" s="98" t="s">
        <v>196</v>
      </c>
      <c r="T175" s="176">
        <v>46272</v>
      </c>
      <c r="U175" s="176">
        <v>46276</v>
      </c>
      <c r="V175" s="177" t="s">
        <v>571</v>
      </c>
      <c r="W175" s="172">
        <v>27000000</v>
      </c>
      <c r="X175" s="152" t="s">
        <v>484</v>
      </c>
      <c r="Y175" s="152" t="s">
        <v>485</v>
      </c>
      <c r="Z175" s="152" t="s">
        <v>486</v>
      </c>
      <c r="AA175" s="152" t="s">
        <v>487</v>
      </c>
      <c r="AB175" s="152" t="s">
        <v>488</v>
      </c>
      <c r="AC175" s="152" t="s">
        <v>489</v>
      </c>
      <c r="AD175" s="152" t="s">
        <v>490</v>
      </c>
      <c r="AE175" s="152" t="s">
        <v>491</v>
      </c>
      <c r="AF175" s="152" t="s">
        <v>492</v>
      </c>
      <c r="AG175" s="152" t="s">
        <v>493</v>
      </c>
      <c r="AH175" s="152" t="s">
        <v>494</v>
      </c>
      <c r="AI175" s="152" t="s">
        <v>495</v>
      </c>
      <c r="AJ175" s="152" t="s">
        <v>496</v>
      </c>
      <c r="AK175" s="97" t="s">
        <v>188</v>
      </c>
      <c r="AN175" s="97" t="inlineStr">
        <is>
          <t>Otros</t>
        </is>
      </c>
    </row>
    <row r="176" spans="1:40" ht="30" customHeight="1">
      <c r="A176" s="98" t="s">
        <v>3</v>
      </c>
      <c r="B176" s="98" t="s">
        <v>499</v>
      </c>
      <c r="C176" s="98" t="s">
        <v>449</v>
      </c>
      <c r="D176" s="136">
        <v>40000000</v>
      </c>
      <c r="E176" s="98" t="s">
        <v>549</v>
      </c>
      <c r="F176" s="98"/>
      <c r="G176" s="98"/>
      <c r="H176" s="101" t="s">
        <v>195</v>
      </c>
      <c r="I176" s="99">
        <v>100</v>
      </c>
      <c r="J176" s="101" t="s">
        <v>213</v>
      </c>
      <c r="K176" s="99">
        <v>50</v>
      </c>
      <c r="L176" s="98"/>
      <c r="M176" s="99">
        <v>50</v>
      </c>
      <c r="N176" s="98"/>
      <c r="O176" s="98" t="s">
        <v>138</v>
      </c>
      <c r="P176" s="98" t="str">
        <f>A176&amp;"|"&amp;O176</f>
        <v>N4|En seguimiento</v>
      </c>
      <c r="Q176" s="98" t="s">
        <v>139</v>
      </c>
      <c r="R176" s="98" t="str">
        <f>B176</f>
        <v>Karen Pérez</v>
      </c>
      <c r="S176" s="98" t="s">
        <v>196</v>
      </c>
      <c r="T176" s="106">
        <v>46272</v>
      </c>
      <c r="U176" s="106">
        <v>46275</v>
      </c>
      <c r="V176" s="177" t="s">
        <v>572</v>
      </c>
      <c r="W176" s="136">
        <v>50000000</v>
      </c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  <c r="AK176" s="102" t="s">
        <v>188</v>
      </c>
      <c r="AN176" s="97" t="inlineStr">
        <is>
          <t>Inmobiliario</t>
        </is>
      </c>
    </row>
    <row r="177" spans="1:40" ht="30" customHeight="1">
      <c r="A177" s="98" t="s">
        <v>2</v>
      </c>
      <c r="B177" s="101" t="s">
        <v>317</v>
      </c>
      <c r="C177" s="107" t="s">
        <v>573</v>
      </c>
      <c r="D177" s="225">
        <v>20000000</v>
      </c>
      <c r="E177" s="107" t="s">
        <v>574</v>
      </c>
      <c r="F177" s="98"/>
      <c r="G177" s="98"/>
      <c r="H177" s="101" t="s">
        <v>195</v>
      </c>
      <c r="I177" s="99">
        <v>100</v>
      </c>
      <c r="J177" s="101" t="s">
        <v>213</v>
      </c>
      <c r="K177" s="99">
        <v>50</v>
      </c>
      <c r="L177" s="98"/>
      <c r="M177" s="99">
        <v>50</v>
      </c>
      <c r="N177" s="98"/>
      <c r="O177" s="98" t="s">
        <v>138</v>
      </c>
      <c r="P177" s="98" t="str">
        <f t="shared" ref="P177" si="30">A177&amp;"|"&amp;O177</f>
        <v>N3|En seguimiento</v>
      </c>
      <c r="Q177" s="98" t="s">
        <v>171</v>
      </c>
      <c r="R177" s="98" t="str">
        <f>B177</f>
        <v>Hugo Urrea</v>
      </c>
      <c r="S177" s="98" t="s">
        <v>196</v>
      </c>
      <c r="T177" s="106">
        <v>46272</v>
      </c>
      <c r="U177" s="106">
        <v>46274</v>
      </c>
      <c r="V177" s="177" t="s">
        <v>575</v>
      </c>
      <c r="W177" s="169">
        <v>30000000</v>
      </c>
      <c r="X177" s="102"/>
      <c r="AK177" s="102" t="s">
        <v>188</v>
      </c>
      <c r="AN177" s="97" t="inlineStr">
        <is>
          <t>Consumo Masivo</t>
        </is>
      </c>
    </row>
    <row r="178" spans="1:40" ht="30" customHeight="1">
      <c r="A178" s="98" t="s">
        <v>2</v>
      </c>
      <c r="B178" s="101" t="s">
        <v>322</v>
      </c>
      <c r="C178" s="107" t="s">
        <v>576</v>
      </c>
      <c r="D178" s="225">
        <v>15000000</v>
      </c>
      <c r="E178" s="107" t="s">
        <v>574</v>
      </c>
      <c r="F178" s="98"/>
      <c r="G178" s="98"/>
      <c r="H178" s="101" t="s">
        <v>195</v>
      </c>
      <c r="I178" s="99">
        <v>100</v>
      </c>
      <c r="J178" s="101" t="s">
        <v>213</v>
      </c>
      <c r="K178" s="99">
        <v>50</v>
      </c>
      <c r="L178" s="98"/>
      <c r="M178" s="99">
        <v>50</v>
      </c>
      <c r="N178" s="98"/>
      <c r="O178" s="98" t="s">
        <v>138</v>
      </c>
      <c r="P178" s="98" t="str">
        <f t="shared" ref="P178:P182" si="31">A178&amp;"|"&amp;O178</f>
        <v>N3|En seguimiento</v>
      </c>
      <c r="Q178" s="98" t="s">
        <v>171</v>
      </c>
      <c r="R178" s="98" t="str">
        <f t="shared" ref="R178:R182" si="32">B178</f>
        <v>Elsa Cortez</v>
      </c>
      <c r="S178" s="98" t="s">
        <v>196</v>
      </c>
      <c r="T178" s="106">
        <v>46279</v>
      </c>
      <c r="U178" s="106">
        <v>46279</v>
      </c>
      <c r="V178" s="177" t="s">
        <v>577</v>
      </c>
      <c r="W178" s="169">
        <v>25000000</v>
      </c>
      <c r="X178" s="102"/>
      <c r="AK178" s="102" t="s">
        <v>188</v>
      </c>
      <c r="AN178" s="97" t="inlineStr">
        <is>
          <t>Salud</t>
        </is>
      </c>
    </row>
    <row r="179" spans="1:40" ht="30" customHeight="1">
      <c r="A179" s="98" t="s">
        <v>2</v>
      </c>
      <c r="B179" s="101" t="s">
        <v>317</v>
      </c>
      <c r="C179" s="107" t="s">
        <v>578</v>
      </c>
      <c r="D179" s="225">
        <v>20000000</v>
      </c>
      <c r="E179" s="107" t="s">
        <v>579</v>
      </c>
      <c r="F179" s="98"/>
      <c r="G179" s="98"/>
      <c r="H179" s="101" t="s">
        <v>195</v>
      </c>
      <c r="I179" s="99">
        <v>100</v>
      </c>
      <c r="J179" s="101" t="s">
        <v>213</v>
      </c>
      <c r="K179" s="99">
        <v>50</v>
      </c>
      <c r="L179" s="98"/>
      <c r="M179" s="99">
        <v>50</v>
      </c>
      <c r="N179" s="98"/>
      <c r="O179" s="98" t="s">
        <v>138</v>
      </c>
      <c r="P179" s="98" t="str">
        <f t="shared" si="31"/>
        <v>N3|En seguimiento</v>
      </c>
      <c r="Q179" s="98" t="s">
        <v>171</v>
      </c>
      <c r="R179" s="98" t="str">
        <f t="shared" si="32"/>
        <v>Hugo Urrea</v>
      </c>
      <c r="S179" s="98" t="s">
        <v>196</v>
      </c>
      <c r="T179" s="106">
        <v>46276</v>
      </c>
      <c r="U179" s="106">
        <v>46280</v>
      </c>
      <c r="V179" s="177" t="s">
        <v>580</v>
      </c>
      <c r="W179" s="169">
        <v>27000000</v>
      </c>
      <c r="X179" s="102"/>
      <c r="AK179" s="102" t="s">
        <v>188</v>
      </c>
      <c r="AN179" s="97" t="inlineStr">
        <is>
          <t>Consumo Masivo</t>
        </is>
      </c>
    </row>
    <row r="180" spans="1:40" ht="30" customHeight="1">
      <c r="A180" s="98" t="s">
        <v>4</v>
      </c>
      <c r="B180" s="101" t="s">
        <v>581</v>
      </c>
      <c r="C180" s="107" t="s">
        <v>437</v>
      </c>
      <c r="D180" s="225">
        <v>35000000</v>
      </c>
      <c r="E180" s="107" t="s">
        <v>582</v>
      </c>
      <c r="F180" s="98"/>
      <c r="G180" s="98"/>
      <c r="H180" s="101" t="s">
        <v>195</v>
      </c>
      <c r="I180" s="99">
        <v>100</v>
      </c>
      <c r="J180" s="101" t="s">
        <v>213</v>
      </c>
      <c r="K180" s="99">
        <v>50</v>
      </c>
      <c r="L180" s="98"/>
      <c r="M180" s="99">
        <v>50</v>
      </c>
      <c r="N180" s="98"/>
      <c r="O180" s="98" t="s">
        <v>138</v>
      </c>
      <c r="P180" s="98" t="str">
        <f t="shared" si="31"/>
        <v>N5|En seguimiento</v>
      </c>
      <c r="Q180" s="98" t="s">
        <v>171</v>
      </c>
      <c r="R180" s="98" t="str">
        <f t="shared" si="32"/>
        <v>Raul Herrera</v>
      </c>
      <c r="S180" s="98" t="s">
        <v>196</v>
      </c>
      <c r="T180" s="106">
        <v>46279</v>
      </c>
      <c r="U180" s="106">
        <v>46280</v>
      </c>
      <c r="V180" s="177" t="s">
        <v>580</v>
      </c>
      <c r="W180" s="169">
        <v>40000000</v>
      </c>
      <c r="X180" s="102"/>
      <c r="AK180" s="102" t="s">
        <v>188</v>
      </c>
      <c r="AN180" s="97" t="inlineStr">
        <is>
          <t>Salud</t>
        </is>
      </c>
    </row>
    <row r="181" spans="1:40" ht="30" customHeight="1">
      <c r="A181" s="98" t="s">
        <v>3</v>
      </c>
      <c r="B181" s="101" t="s">
        <v>363</v>
      </c>
      <c r="C181" s="107" t="s">
        <v>583</v>
      </c>
      <c r="D181" s="225">
        <v>25000000</v>
      </c>
      <c r="E181" s="107" t="s">
        <v>584</v>
      </c>
      <c r="F181" s="98"/>
      <c r="G181" s="98"/>
      <c r="H181" s="101" t="s">
        <v>195</v>
      </c>
      <c r="I181" s="99">
        <v>100</v>
      </c>
      <c r="J181" s="101" t="s">
        <v>213</v>
      </c>
      <c r="K181" s="99">
        <v>50</v>
      </c>
      <c r="L181" s="98"/>
      <c r="M181" s="99">
        <v>50</v>
      </c>
      <c r="N181" s="98"/>
      <c r="O181" s="98" t="s">
        <v>138</v>
      </c>
      <c r="P181" s="98" t="str">
        <f t="shared" si="31"/>
        <v>N4|En seguimiento</v>
      </c>
      <c r="Q181" s="98" t="s">
        <v>171</v>
      </c>
      <c r="R181" s="98" t="str">
        <f t="shared" si="32"/>
        <v>Mauricio Agudelo</v>
      </c>
      <c r="S181" s="98" t="s">
        <v>196</v>
      </c>
      <c r="T181" s="106">
        <v>46281</v>
      </c>
      <c r="U181" s="106">
        <v>46281</v>
      </c>
      <c r="V181" s="200" t="s">
        <v>585</v>
      </c>
      <c r="W181" s="169">
        <v>30000000</v>
      </c>
      <c r="X181" s="102"/>
      <c r="AK181" s="102" t="s">
        <v>188</v>
      </c>
      <c r="AN181" s="97" t="inlineStr">
        <is>
          <t>Banca</t>
        </is>
      </c>
    </row>
    <row r="182" spans="1:40" ht="30" customHeight="1">
      <c r="A182" s="98" t="s">
        <v>0</v>
      </c>
      <c r="B182" s="101" t="s">
        <v>586</v>
      </c>
      <c r="C182" s="107" t="s">
        <v>587</v>
      </c>
      <c r="D182" s="225">
        <v>40000000</v>
      </c>
      <c r="E182" s="107" t="s">
        <v>588</v>
      </c>
      <c r="F182" s="98"/>
      <c r="G182" s="98"/>
      <c r="H182" s="101" t="s">
        <v>195</v>
      </c>
      <c r="I182" s="99">
        <v>100</v>
      </c>
      <c r="J182" s="101" t="s">
        <v>213</v>
      </c>
      <c r="K182" s="99">
        <v>50</v>
      </c>
      <c r="L182" s="98"/>
      <c r="M182" s="99">
        <v>50</v>
      </c>
      <c r="N182" s="98"/>
      <c r="O182" s="98" t="s">
        <v>138</v>
      </c>
      <c r="P182" s="98" t="str">
        <f t="shared" si="31"/>
        <v>N1|En seguimiento</v>
      </c>
      <c r="Q182" s="98" t="s">
        <v>171</v>
      </c>
      <c r="R182" s="98" t="str">
        <f t="shared" si="32"/>
        <v>Rosa Jeymy Díaz</v>
      </c>
      <c r="S182" s="98" t="s">
        <v>196</v>
      </c>
      <c r="T182" s="106">
        <v>46283</v>
      </c>
      <c r="U182" s="106">
        <v>46283</v>
      </c>
      <c r="V182" s="177" t="s">
        <v>589</v>
      </c>
      <c r="W182" s="169">
        <v>40000000</v>
      </c>
      <c r="X182" s="102"/>
      <c r="AK182" s="102" t="s">
        <v>188</v>
      </c>
      <c r="AN182" s="97" t="inlineStr">
        <is>
          <t>Automotriz</t>
        </is>
      </c>
    </row>
    <row r="183" spans="1:40" ht="30" customHeight="1">
      <c r="A183" s="98" t="s">
        <v>4</v>
      </c>
      <c r="B183" s="107" t="s">
        <v>403</v>
      </c>
      <c r="C183" s="98" t="s">
        <v>590</v>
      </c>
      <c r="D183" s="225">
        <v>64780000</v>
      </c>
      <c r="E183" s="140" t="s">
        <v>591</v>
      </c>
      <c r="F183" s="98"/>
      <c r="G183" s="98"/>
      <c r="H183" s="101" t="s">
        <v>195</v>
      </c>
      <c r="I183" s="99">
        <v>100</v>
      </c>
      <c r="J183" s="228" t="s">
        <v>213</v>
      </c>
      <c r="K183" s="99">
        <v>50</v>
      </c>
      <c r="L183" s="98"/>
      <c r="M183" s="99">
        <v>50</v>
      </c>
      <c r="N183" s="98"/>
      <c r="O183" s="98" t="s">
        <v>138</v>
      </c>
      <c r="P183" s="98" t="str">
        <f>A183&amp;"|"&amp;O183</f>
        <v>N5|En seguimiento</v>
      </c>
      <c r="Q183" s="98" t="s">
        <v>171</v>
      </c>
      <c r="R183" s="98" t="str">
        <f>B183</f>
        <v>Ana Maria Castañeda</v>
      </c>
      <c r="S183" s="98" t="s">
        <v>196</v>
      </c>
      <c r="T183" s="106">
        <v>46282</v>
      </c>
      <c r="U183" s="106">
        <v>46282</v>
      </c>
      <c r="V183" s="200" t="s">
        <v>592</v>
      </c>
      <c r="W183" s="225">
        <v>64780000</v>
      </c>
      <c r="X183" s="98" t="s">
        <v>198</v>
      </c>
      <c r="AK183" s="102" t="s">
        <v>198</v>
      </c>
      <c r="AN183" s="97" t="inlineStr">
        <is>
          <t>Tecnología</t>
        </is>
      </c>
    </row>
    <row r="184" spans="1:40" ht="30" customHeight="1">
      <c r="A184" s="98" t="s">
        <v>4</v>
      </c>
      <c r="B184" s="107" t="s">
        <v>394</v>
      </c>
      <c r="C184" s="98" t="s">
        <v>593</v>
      </c>
      <c r="D184" s="234">
        <v>12000000</v>
      </c>
      <c r="E184" s="98" t="s">
        <v>591</v>
      </c>
      <c r="F184" s="191"/>
      <c r="G184" s="98"/>
      <c r="H184" s="101" t="s">
        <v>195</v>
      </c>
      <c r="I184" s="99">
        <v>100</v>
      </c>
      <c r="J184" s="228" t="s">
        <v>213</v>
      </c>
      <c r="K184" s="99">
        <v>50</v>
      </c>
      <c r="L184" s="98"/>
      <c r="M184" s="99">
        <v>50</v>
      </c>
      <c r="N184" s="98"/>
      <c r="O184" s="98" t="s">
        <v>138</v>
      </c>
      <c r="P184" s="98" t="str">
        <f>A184&amp;"|"&amp;O184</f>
        <v>N5|En seguimiento</v>
      </c>
      <c r="Q184" s="98" t="s">
        <v>171</v>
      </c>
      <c r="R184" s="98" t="str">
        <f>B184</f>
        <v>Luz Karime Hernandez</v>
      </c>
      <c r="S184" s="98" t="s">
        <v>196</v>
      </c>
      <c r="T184" s="106">
        <v>46280</v>
      </c>
      <c r="U184" s="106">
        <v>46283</v>
      </c>
      <c r="V184" s="200" t="s">
        <v>594</v>
      </c>
      <c r="W184" s="233">
        <v>7800000</v>
      </c>
      <c r="X184" s="98" t="s">
        <v>198</v>
      </c>
      <c r="AK184" s="102" t="s">
        <v>178</v>
      </c>
      <c r="AN184" s="97" t="inlineStr">
        <is>
          <t>Tecnología</t>
        </is>
      </c>
    </row>
    <row r="185" spans="1:40" ht="30" customHeight="1">
      <c r="A185" s="98" t="s">
        <v>1</v>
      </c>
      <c r="B185" s="101" t="s">
        <v>273</v>
      </c>
      <c r="C185" s="107" t="s">
        <v>595</v>
      </c>
      <c r="D185" s="229">
        <v>50000000</v>
      </c>
      <c r="E185" s="235" t="s">
        <v>596</v>
      </c>
      <c r="F185" s="98"/>
      <c r="G185" s="98"/>
      <c r="H185" s="101" t="s">
        <v>195</v>
      </c>
      <c r="I185" s="99">
        <v>100</v>
      </c>
      <c r="J185" s="228" t="s">
        <v>213</v>
      </c>
      <c r="K185" s="99">
        <v>50</v>
      </c>
      <c r="L185" s="101"/>
      <c r="M185" s="99">
        <v>50</v>
      </c>
      <c r="N185" s="98"/>
      <c r="O185" s="98" t="s">
        <v>138</v>
      </c>
      <c r="P185" s="98" t="str">
        <f>A185&amp;"|"&amp;O185</f>
        <v>N2|En seguimiento</v>
      </c>
      <c r="Q185" s="98" t="s">
        <v>171</v>
      </c>
      <c r="R185" s="98" t="str">
        <f>B185</f>
        <v>Luisa Escobar</v>
      </c>
      <c r="S185" s="98" t="s">
        <v>196</v>
      </c>
      <c r="T185" s="106">
        <v>46286</v>
      </c>
      <c r="U185" s="231">
        <v>46288</v>
      </c>
      <c r="V185" s="200" t="s">
        <v>597</v>
      </c>
      <c r="W185" s="230">
        <v>56000000</v>
      </c>
      <c r="X185" s="232" t="s">
        <v>178</v>
      </c>
      <c r="AK185" s="102" t="s">
        <v>188</v>
      </c>
      <c r="AN185" s="97" t="inlineStr">
        <is>
          <t>Inmobiliario</t>
        </is>
      </c>
    </row>
    <row r="186" spans="1:40" ht="30" customHeight="1">
      <c r="A186" s="98" t="s">
        <v>2</v>
      </c>
      <c r="B186" s="98" t="s">
        <v>506</v>
      </c>
      <c r="C186" s="98" t="s">
        <v>338</v>
      </c>
      <c r="D186" s="136">
        <v>50000000</v>
      </c>
      <c r="E186" s="98" t="s">
        <v>598</v>
      </c>
      <c r="F186" s="98"/>
      <c r="G186" s="98"/>
      <c r="H186" s="101" t="s">
        <v>195</v>
      </c>
      <c r="I186" s="99">
        <v>100</v>
      </c>
      <c r="J186" s="101" t="s">
        <v>213</v>
      </c>
      <c r="K186" s="99">
        <v>50</v>
      </c>
      <c r="L186" s="98"/>
      <c r="M186" s="99">
        <v>50</v>
      </c>
      <c r="N186" s="98"/>
      <c r="O186" s="98" t="s">
        <v>138</v>
      </c>
      <c r="P186" s="98" t="str">
        <f>A186&amp;"|"&amp;O186</f>
        <v>N3|En seguimiento</v>
      </c>
      <c r="Q186" s="98" t="s">
        <v>139</v>
      </c>
      <c r="R186" s="125" t="str">
        <f>B186</f>
        <v>Diana Rodriguez</v>
      </c>
      <c r="S186" s="98" t="s">
        <v>196</v>
      </c>
      <c r="T186" s="106">
        <v>46286</v>
      </c>
      <c r="U186" s="231">
        <v>46288</v>
      </c>
      <c r="V186" s="200" t="s">
        <v>599</v>
      </c>
      <c r="W186" s="172">
        <v>52000000</v>
      </c>
      <c r="X186" s="152" t="s">
        <v>484</v>
      </c>
      <c r="Y186" s="152" t="s">
        <v>485</v>
      </c>
      <c r="Z186" s="152" t="s">
        <v>486</v>
      </c>
      <c r="AA186" s="152" t="s">
        <v>487</v>
      </c>
      <c r="AB186" s="152" t="s">
        <v>488</v>
      </c>
      <c r="AC186" s="152" t="s">
        <v>489</v>
      </c>
      <c r="AD186" s="152" t="s">
        <v>490</v>
      </c>
      <c r="AE186" s="152" t="s">
        <v>491</v>
      </c>
      <c r="AF186" s="152" t="s">
        <v>492</v>
      </c>
      <c r="AG186" s="152" t="s">
        <v>493</v>
      </c>
      <c r="AH186" s="152" t="s">
        <v>494</v>
      </c>
      <c r="AI186" s="152" t="s">
        <v>495</v>
      </c>
      <c r="AJ186" s="152" t="s">
        <v>496</v>
      </c>
      <c r="AK186" s="97" t="s">
        <v>188</v>
      </c>
      <c r="AN186" s="97" t="inlineStr">
        <is>
          <t>Moda</t>
        </is>
      </c>
    </row>
    <row r="187" spans="1:40" ht="30" customHeight="1">
      <c r="A187" s="98" t="s">
        <v>2</v>
      </c>
      <c r="B187" s="98" t="s">
        <v>506</v>
      </c>
      <c r="C187" s="98" t="s">
        <v>600</v>
      </c>
      <c r="D187" s="136">
        <v>50000000</v>
      </c>
      <c r="E187" s="98" t="s">
        <v>598</v>
      </c>
      <c r="F187" s="98"/>
      <c r="G187" s="98"/>
      <c r="H187" s="101" t="s">
        <v>195</v>
      </c>
      <c r="I187" s="99">
        <v>100</v>
      </c>
      <c r="J187" s="108" t="s">
        <v>213</v>
      </c>
      <c r="K187" s="99">
        <v>50</v>
      </c>
      <c r="L187" s="98"/>
      <c r="M187" s="99">
        <v>50</v>
      </c>
      <c r="N187" s="98"/>
      <c r="O187" s="98" t="s">
        <v>138</v>
      </c>
      <c r="P187" s="98" t="str">
        <f>A187&amp;"|"&amp;O187</f>
        <v>N3|En seguimiento</v>
      </c>
      <c r="Q187" s="98" t="s">
        <v>139</v>
      </c>
      <c r="R187" s="125" t="str">
        <f>B187</f>
        <v>Diana Rodriguez</v>
      </c>
      <c r="S187" s="98" t="s">
        <v>196</v>
      </c>
      <c r="T187" s="106">
        <v>46286</v>
      </c>
      <c r="U187" s="231">
        <v>46288</v>
      </c>
      <c r="V187" s="200" t="s">
        <v>601</v>
      </c>
      <c r="W187" s="172">
        <v>88000000</v>
      </c>
      <c r="X187" s="152" t="s">
        <v>484</v>
      </c>
      <c r="Y187" s="152" t="s">
        <v>485</v>
      </c>
      <c r="Z187" s="152" t="s">
        <v>486</v>
      </c>
      <c r="AA187" s="152" t="s">
        <v>487</v>
      </c>
      <c r="AB187" s="152" t="s">
        <v>488</v>
      </c>
      <c r="AC187" s="152" t="s">
        <v>489</v>
      </c>
      <c r="AD187" s="152" t="s">
        <v>490</v>
      </c>
      <c r="AE187" s="152" t="s">
        <v>491</v>
      </c>
      <c r="AF187" s="152" t="s">
        <v>492</v>
      </c>
      <c r="AG187" s="152" t="s">
        <v>493</v>
      </c>
      <c r="AH187" s="152" t="s">
        <v>494</v>
      </c>
      <c r="AI187" s="152" t="s">
        <v>495</v>
      </c>
      <c r="AJ187" s="152" t="s">
        <v>496</v>
      </c>
      <c r="AK187" s="97" t="s">
        <v>188</v>
      </c>
      <c r="AN187" s="97" t="inlineStr">
        <is>
          <t>Consumo Masivo</t>
        </is>
      </c>
    </row>
    <row r="188" spans="1:40" ht="30" customHeight="1">
      <c r="A188" s="98" t="s">
        <v>1</v>
      </c>
      <c r="B188" s="101" t="s">
        <v>284</v>
      </c>
      <c r="C188" s="107" t="s">
        <v>602</v>
      </c>
      <c r="D188" s="136">
        <v>18555000</v>
      </c>
      <c r="E188" s="98" t="s">
        <v>603</v>
      </c>
      <c r="F188" s="98"/>
      <c r="G188" s="98"/>
      <c r="H188" s="101" t="s">
        <v>195</v>
      </c>
      <c r="I188" s="236">
        <v>100</v>
      </c>
      <c r="J188" s="108" t="s">
        <v>213</v>
      </c>
      <c r="K188" s="237">
        <v>50</v>
      </c>
      <c r="L188" s="98"/>
      <c r="M188" s="99">
        <v>50</v>
      </c>
      <c r="N188" s="98"/>
      <c r="O188" s="98" t="s">
        <v>138</v>
      </c>
      <c r="P188" s="98" t="str">
        <f t="shared" ref="P188" si="33">A188&amp;"|"&amp;O188</f>
        <v>N2|En seguimiento</v>
      </c>
      <c r="Q188" s="98" t="s">
        <v>171</v>
      </c>
      <c r="R188" s="125" t="str">
        <f t="shared" ref="R188:R191" si="34">B188</f>
        <v>Lina Lemus</v>
      </c>
      <c r="S188" s="98" t="s">
        <v>196</v>
      </c>
      <c r="T188" s="231">
        <v>46288</v>
      </c>
      <c r="U188" s="231">
        <v>46288</v>
      </c>
      <c r="V188" s="200" t="s">
        <v>604</v>
      </c>
      <c r="W188" s="136">
        <v>18555000</v>
      </c>
      <c r="X188" s="102" t="s">
        <v>198</v>
      </c>
      <c r="AK188" s="102" t="s">
        <v>198</v>
      </c>
      <c r="AN188" s="97" t="inlineStr">
        <is>
          <t>Tecnología</t>
        </is>
      </c>
    </row>
    <row r="189" spans="1:40" ht="30" customHeight="1">
      <c r="A189" s="98" t="s">
        <v>1</v>
      </c>
      <c r="B189" s="101" t="s">
        <v>284</v>
      </c>
      <c r="C189" s="107" t="s">
        <v>605</v>
      </c>
      <c r="D189" s="136">
        <v>80096000</v>
      </c>
      <c r="E189" s="98" t="s">
        <v>606</v>
      </c>
      <c r="F189" s="98"/>
      <c r="G189" s="98"/>
      <c r="H189" s="101" t="s">
        <v>195</v>
      </c>
      <c r="I189" s="236">
        <v>100</v>
      </c>
      <c r="J189" s="108" t="s">
        <v>213</v>
      </c>
      <c r="K189" s="237">
        <v>50</v>
      </c>
      <c r="L189" s="98"/>
      <c r="M189" s="99">
        <v>50</v>
      </c>
      <c r="N189" s="98"/>
      <c r="O189" s="98" t="s">
        <v>138</v>
      </c>
      <c r="P189" s="98" t="str">
        <f t="shared" ref="P189" si="35">A189&amp;"|"&amp;O189</f>
        <v>N2|En seguimiento</v>
      </c>
      <c r="Q189" s="98" t="s">
        <v>171</v>
      </c>
      <c r="R189" s="125" t="str">
        <f t="shared" si="34"/>
        <v>Lina Lemus</v>
      </c>
      <c r="S189" s="98" t="s">
        <v>196</v>
      </c>
      <c r="T189" s="231">
        <v>46288</v>
      </c>
      <c r="U189" s="231">
        <v>46288</v>
      </c>
      <c r="V189" s="200" t="s">
        <v>607</v>
      </c>
      <c r="W189" s="136">
        <v>80096000</v>
      </c>
      <c r="X189" s="102" t="s">
        <v>198</v>
      </c>
      <c r="AK189" s="102" t="s">
        <v>198</v>
      </c>
      <c r="AN189" s="97" t="inlineStr">
        <is>
          <t>Consumo Masivo</t>
        </is>
      </c>
    </row>
    <row r="190" spans="1:40" ht="30" customHeight="1">
      <c r="A190" s="98" t="s">
        <v>2</v>
      </c>
      <c r="B190" s="101" t="s">
        <v>506</v>
      </c>
      <c r="C190" s="107" t="s">
        <v>608</v>
      </c>
      <c r="D190" s="136">
        <v>36500000</v>
      </c>
      <c r="E190" s="98" t="s">
        <v>609</v>
      </c>
      <c r="F190" s="98"/>
      <c r="G190" s="98"/>
      <c r="H190" s="101" t="s">
        <v>195</v>
      </c>
      <c r="I190" s="236">
        <v>100</v>
      </c>
      <c r="J190" s="108" t="s">
        <v>213</v>
      </c>
      <c r="K190" s="237">
        <v>50</v>
      </c>
      <c r="L190" s="98"/>
      <c r="M190" s="99">
        <v>50</v>
      </c>
      <c r="N190" s="98"/>
      <c r="O190" s="98" t="s">
        <v>138</v>
      </c>
      <c r="P190" s="98" t="str">
        <f t="shared" ref="P190:P191" si="36">A190&amp;"|"&amp;O190</f>
        <v>N3|En seguimiento</v>
      </c>
      <c r="Q190" s="98" t="s">
        <v>171</v>
      </c>
      <c r="R190" s="125" t="str">
        <f t="shared" si="34"/>
        <v>Diana Rodriguez</v>
      </c>
      <c r="S190" s="98" t="s">
        <v>196</v>
      </c>
      <c r="T190" s="231">
        <v>46282</v>
      </c>
      <c r="U190" s="231">
        <v>46288</v>
      </c>
      <c r="V190" s="200" t="s">
        <v>607</v>
      </c>
      <c r="W190" s="136">
        <v>36500000</v>
      </c>
      <c r="X190" s="102" t="s">
        <v>198</v>
      </c>
      <c r="AK190" s="102" t="s">
        <v>178</v>
      </c>
      <c r="AN190" s="97" t="inlineStr">
        <is>
          <t>Consumo Masivo</t>
        </is>
      </c>
    </row>
    <row r="191" spans="1:40" ht="30" customHeight="1">
      <c r="A191" s="98" t="s">
        <v>2</v>
      </c>
      <c r="B191" s="101" t="s">
        <v>506</v>
      </c>
      <c r="C191" s="107" t="s">
        <v>610</v>
      </c>
      <c r="D191" s="136">
        <v>37100000</v>
      </c>
      <c r="E191" s="98" t="s">
        <v>609</v>
      </c>
      <c r="F191" s="98"/>
      <c r="G191" s="98"/>
      <c r="H191" s="101" t="s">
        <v>195</v>
      </c>
      <c r="I191" s="236">
        <v>100</v>
      </c>
      <c r="J191" s="108" t="s">
        <v>213</v>
      </c>
      <c r="K191" s="237">
        <v>50</v>
      </c>
      <c r="L191" s="98"/>
      <c r="M191" s="99">
        <v>50</v>
      </c>
      <c r="N191" s="98"/>
      <c r="O191" s="98" t="s">
        <v>138</v>
      </c>
      <c r="P191" s="98" t="str">
        <f>A191&amp;"|"&amp;O191</f>
        <v>N3|En seguimiento</v>
      </c>
      <c r="Q191" s="98" t="s">
        <v>171</v>
      </c>
      <c r="R191" s="125" t="str">
        <f t="shared" si="34"/>
        <v>Diana Rodriguez</v>
      </c>
      <c r="S191" s="98" t="s">
        <v>196</v>
      </c>
      <c r="T191" s="231">
        <v>46282</v>
      </c>
      <c r="U191" s="231">
        <v>46290</v>
      </c>
      <c r="V191" s="200" t="s">
        <v>607</v>
      </c>
      <c r="W191" s="136">
        <v>37100000</v>
      </c>
      <c r="X191" s="102" t="s">
        <v>198</v>
      </c>
      <c r="AK191" s="102" t="s">
        <v>178</v>
      </c>
      <c r="AN191" s="97" t="inlineStr">
        <is>
          <t>Consumo Masivo</t>
        </is>
      </c>
    </row>
    <row r="192" spans="1:40" ht="30" customHeight="1">
      <c r="A192" s="98" t="s">
        <v>3</v>
      </c>
      <c r="B192" s="98" t="s">
        <v>499</v>
      </c>
      <c r="C192" s="98" t="s">
        <v>611</v>
      </c>
      <c r="D192" s="136">
        <v>67920000</v>
      </c>
      <c r="E192" s="98" t="s">
        <v>612</v>
      </c>
      <c r="F192" s="98"/>
      <c r="G192" s="98"/>
      <c r="H192" s="101" t="s">
        <v>195</v>
      </c>
      <c r="I192" s="99">
        <v>100</v>
      </c>
      <c r="J192" s="101" t="s">
        <v>213</v>
      </c>
      <c r="K192" s="99">
        <v>50</v>
      </c>
      <c r="L192" s="98"/>
      <c r="M192" s="99">
        <v>50</v>
      </c>
      <c r="N192" s="98"/>
      <c r="O192" s="98" t="s">
        <v>138</v>
      </c>
      <c r="P192" s="98" t="str">
        <f>A192&amp;"|"&amp;O192</f>
        <v>N4|En seguimiento</v>
      </c>
      <c r="Q192" s="98" t="s">
        <v>139</v>
      </c>
      <c r="R192" s="98" t="str">
        <f>B192</f>
        <v>Karen Pérez</v>
      </c>
      <c r="S192" s="98" t="s">
        <v>196</v>
      </c>
      <c r="T192" s="106">
        <v>46290</v>
      </c>
      <c r="U192" s="106">
        <v>46297</v>
      </c>
      <c r="V192" s="177" t="s">
        <v>613</v>
      </c>
      <c r="W192" s="136">
        <v>67920000</v>
      </c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K192" s="102" t="s">
        <v>198</v>
      </c>
      <c r="AN192" s="97" t="inlineStr">
        <is>
          <t>Consumo Masivo</t>
        </is>
      </c>
    </row>
    <row r="193" spans="1:40" ht="30" customHeight="1">
      <c r="A193" s="98" t="s">
        <v>2</v>
      </c>
      <c r="B193" s="98" t="s">
        <v>510</v>
      </c>
      <c r="C193" s="98" t="s">
        <v>614</v>
      </c>
      <c r="D193" s="136">
        <v>33880000</v>
      </c>
      <c r="E193" s="98" t="s">
        <v>615</v>
      </c>
      <c r="F193" s="98"/>
      <c r="G193" s="98"/>
      <c r="H193" s="101" t="s">
        <v>195</v>
      </c>
      <c r="I193" s="99">
        <v>100</v>
      </c>
      <c r="J193" s="101" t="s">
        <v>213</v>
      </c>
      <c r="K193" s="99">
        <v>50</v>
      </c>
      <c r="L193" s="98"/>
      <c r="M193" s="99">
        <v>50</v>
      </c>
      <c r="N193" s="98"/>
      <c r="O193" s="98" t="s">
        <v>138</v>
      </c>
      <c r="P193" s="98" t="str">
        <f>A193&amp;"|"&amp;O193</f>
        <v>N3|En seguimiento</v>
      </c>
      <c r="Q193" s="98" t="s">
        <v>139</v>
      </c>
      <c r="R193" s="98" t="str">
        <f>B193</f>
        <v>Laura Sofía Calvera</v>
      </c>
      <c r="S193" s="98" t="s">
        <v>287</v>
      </c>
      <c r="T193" s="106">
        <v>46293</v>
      </c>
      <c r="U193" s="106">
        <v>46297</v>
      </c>
      <c r="V193" s="200" t="s">
        <v>616</v>
      </c>
      <c r="W193" s="136">
        <v>33880000</v>
      </c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K193" s="102" t="s">
        <v>188</v>
      </c>
      <c r="AN193" s="97" t="inlineStr">
        <is>
          <t>Servicios</t>
        </is>
      </c>
    </row>
    <row r="194" spans="1:40" ht="30" customHeight="1">
      <c r="A194" s="98" t="s">
        <v>2</v>
      </c>
      <c r="B194" s="98" t="s">
        <v>322</v>
      </c>
      <c r="C194" s="98" t="s">
        <v>617</v>
      </c>
      <c r="D194" s="136">
        <v>33610000</v>
      </c>
      <c r="E194" s="98" t="s">
        <v>618</v>
      </c>
      <c r="F194" s="98"/>
      <c r="G194" s="98"/>
      <c r="H194" s="101" t="s">
        <v>195</v>
      </c>
      <c r="I194" s="99">
        <v>100</v>
      </c>
      <c r="J194" s="101" t="s">
        <v>213</v>
      </c>
      <c r="K194" s="99">
        <v>50</v>
      </c>
      <c r="L194" s="98"/>
      <c r="M194" s="99">
        <v>50</v>
      </c>
      <c r="N194" s="98"/>
      <c r="O194" s="98" t="s">
        <v>138</v>
      </c>
      <c r="P194" s="98" t="str">
        <f>A194&amp;"|"&amp;O194</f>
        <v>N3|En seguimiento</v>
      </c>
      <c r="Q194" s="98" t="s">
        <v>139</v>
      </c>
      <c r="R194" s="98" t="str">
        <f>B194</f>
        <v>Elsa Cortez</v>
      </c>
      <c r="S194" s="98" t="s">
        <v>287</v>
      </c>
      <c r="T194" s="106">
        <v>46293</v>
      </c>
      <c r="U194" s="106">
        <v>46294</v>
      </c>
      <c r="V194" s="200" t="s">
        <v>619</v>
      </c>
      <c r="W194" s="136">
        <v>33610000</v>
      </c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K194" s="102" t="s">
        <v>188</v>
      </c>
      <c r="AN194" s="97" t="inlineStr">
        <is>
          <t>Salud</t>
        </is>
      </c>
    </row>
    <row r="195" spans="1:40" ht="30" customHeight="1">
      <c r="A195" s="98" t="s">
        <v>146</v>
      </c>
      <c r="B195" s="98" t="s">
        <v>146</v>
      </c>
      <c r="C195" s="98" t="s">
        <v>620</v>
      </c>
      <c r="D195" s="136">
        <v>88415000</v>
      </c>
      <c r="E195" s="98" t="s">
        <v>621</v>
      </c>
      <c r="F195" s="98"/>
      <c r="G195" s="98"/>
      <c r="H195" s="101" t="s">
        <v>135</v>
      </c>
      <c r="I195" s="99">
        <v>100</v>
      </c>
      <c r="J195" s="101" t="s">
        <v>136</v>
      </c>
      <c r="K195" s="99">
        <v>100</v>
      </c>
      <c r="L195" s="98" t="s">
        <v>148</v>
      </c>
      <c r="M195" s="99">
        <v>100</v>
      </c>
      <c r="N195" s="98"/>
      <c r="O195" s="98" t="s">
        <v>138</v>
      </c>
      <c r="P195" s="98" t="str">
        <f>A195&amp;"|"&amp;O195</f>
        <v>PRODUCTOS GENERALES|En seguimiento</v>
      </c>
      <c r="Q195" s="98" t="s">
        <v>139</v>
      </c>
      <c r="R195" s="98" t="s">
        <v>146</v>
      </c>
      <c r="S195" s="98" t="s">
        <v>196</v>
      </c>
      <c r="T195" s="106">
        <v>46266</v>
      </c>
      <c r="U195" s="106">
        <v>46295</v>
      </c>
      <c r="V195" s="154"/>
      <c r="W195" s="136">
        <v>88415000</v>
      </c>
      <c r="X195" s="102" t="s">
        <v>142</v>
      </c>
      <c r="AK195" s="102" t="s">
        <v>142</v>
      </c>
      <c r="AN195" s="97" t="inlineStr">
        <is>
          <t>Otros</t>
        </is>
      </c>
    </row>
    <row r="196" spans="1:40" ht="30" customHeight="1">
      <c r="A196" s="203" t="s">
        <v>2</v>
      </c>
      <c r="B196" s="203" t="s">
        <v>514</v>
      </c>
      <c r="C196" s="203" t="s">
        <v>622</v>
      </c>
      <c r="D196" s="239">
        <v>20000000</v>
      </c>
      <c r="E196" s="203" t="s">
        <v>623</v>
      </c>
      <c r="F196" s="203"/>
      <c r="G196" s="203"/>
      <c r="H196" s="205" t="s">
        <v>195</v>
      </c>
      <c r="I196" s="206">
        <v>100</v>
      </c>
      <c r="J196" s="205" t="s">
        <v>213</v>
      </c>
      <c r="K196" s="206">
        <v>50</v>
      </c>
      <c r="L196" s="203"/>
      <c r="M196" s="206">
        <v>50</v>
      </c>
      <c r="N196" s="203"/>
      <c r="O196" s="203" t="s">
        <v>229</v>
      </c>
      <c r="P196" s="203" t="str">
        <f>A196&amp;"|"&amp;O196</f>
        <v>N3|Cerrada</v>
      </c>
      <c r="Q196" s="203" t="s">
        <v>139</v>
      </c>
      <c r="R196" s="240" t="str">
        <f>B196</f>
        <v>Nicole Hincapié</v>
      </c>
      <c r="S196" s="203" t="s">
        <v>196</v>
      </c>
      <c r="T196" s="207">
        <v>46290</v>
      </c>
      <c r="U196" s="207">
        <v>46259</v>
      </c>
      <c r="V196" s="241"/>
      <c r="W196" s="239">
        <v>20000000</v>
      </c>
      <c r="AK196" s="203" t="s">
        <v>188</v>
      </c>
      <c r="AN196" s="97" t="inlineStr">
        <is>
          <t>Inmobiliario</t>
        </is>
      </c>
    </row>
    <row r="197" spans="1:40" ht="30" customHeight="1">
      <c r="A197" s="98" t="s">
        <v>146</v>
      </c>
      <c r="B197" s="98" t="s">
        <v>146</v>
      </c>
      <c r="C197" s="98" t="s">
        <v>624</v>
      </c>
      <c r="D197" s="136">
        <v>15000000</v>
      </c>
      <c r="E197" s="98" t="s">
        <v>625</v>
      </c>
      <c r="F197" s="98"/>
      <c r="G197" s="98"/>
      <c r="H197" s="101" t="s">
        <v>135</v>
      </c>
      <c r="I197" s="99">
        <v>100</v>
      </c>
      <c r="J197" s="101" t="s">
        <v>136</v>
      </c>
      <c r="K197" s="99">
        <v>100</v>
      </c>
      <c r="L197" s="98" t="s">
        <v>148</v>
      </c>
      <c r="M197" s="99">
        <v>100</v>
      </c>
      <c r="N197" s="98"/>
      <c r="O197" s="98" t="s">
        <v>138</v>
      </c>
      <c r="P197" s="98" t="str">
        <f>A197&amp;"|"&amp;O197</f>
        <v>PRODUCTOS GENERALES|En seguimiento</v>
      </c>
      <c r="Q197" s="98" t="s">
        <v>139</v>
      </c>
      <c r="R197" s="98" t="s">
        <v>146</v>
      </c>
      <c r="S197" s="98" t="s">
        <v>196</v>
      </c>
      <c r="T197" s="106">
        <v>46266</v>
      </c>
      <c r="U197" s="106">
        <v>46295</v>
      </c>
      <c r="V197" s="154"/>
      <c r="W197" s="136">
        <v>15000000</v>
      </c>
      <c r="X197" s="102" t="s">
        <v>142</v>
      </c>
      <c r="AK197" s="102" t="s">
        <v>142</v>
      </c>
      <c r="AN197" s="97" t="inlineStr">
        <is>
          <t>Otros</t>
        </is>
      </c>
    </row>
    <row r="198" spans="1:40" ht="30" customHeight="1">
      <c r="A198" s="98" t="s">
        <v>3</v>
      </c>
      <c r="B198" s="98" t="s">
        <v>626</v>
      </c>
      <c r="C198" s="98" t="s">
        <v>627</v>
      </c>
      <c r="D198" s="136">
        <v>20000000</v>
      </c>
      <c r="E198" s="98" t="s">
        <v>628</v>
      </c>
      <c r="F198" s="98"/>
      <c r="G198" s="98"/>
      <c r="H198" s="101" t="s">
        <v>195</v>
      </c>
      <c r="I198" s="99">
        <v>100</v>
      </c>
      <c r="J198" s="101" t="s">
        <v>213</v>
      </c>
      <c r="K198" s="99">
        <v>50</v>
      </c>
      <c r="L198" s="98"/>
      <c r="M198" s="99">
        <v>50</v>
      </c>
      <c r="N198" s="98"/>
      <c r="O198" s="98" t="s">
        <v>138</v>
      </c>
      <c r="P198" s="98" t="str">
        <f>A198&amp;"|"&amp;O198</f>
        <v>N4|En seguimiento</v>
      </c>
      <c r="Q198" s="98" t="s">
        <v>139</v>
      </c>
      <c r="R198" s="98" t="str">
        <f>B198</f>
        <v>Luis Lopez</v>
      </c>
      <c r="S198" s="98" t="s">
        <v>287</v>
      </c>
      <c r="T198" s="106">
        <v>46310</v>
      </c>
      <c r="U198" s="106">
        <v>46310</v>
      </c>
      <c r="V198" s="184" t="s">
        <v>629</v>
      </c>
      <c r="W198" s="136">
        <v>25000000</v>
      </c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K198" s="102" t="s">
        <v>188</v>
      </c>
      <c r="AN198" s="97" t="inlineStr">
        <is>
          <t>Viajes</t>
        </is>
      </c>
    </row>
    <row r="199" spans="1:40" ht="30" customHeight="1">
      <c r="A199" s="98" t="s">
        <v>0</v>
      </c>
      <c r="B199" s="101" t="s">
        <v>192</v>
      </c>
      <c r="C199" s="107" t="s">
        <v>630</v>
      </c>
      <c r="D199" s="136"/>
      <c r="E199" s="98" t="s">
        <v>631</v>
      </c>
      <c r="F199" s="98"/>
      <c r="G199" s="98"/>
      <c r="H199" s="101" t="s">
        <v>195</v>
      </c>
      <c r="I199" s="99">
        <v>100</v>
      </c>
      <c r="J199" s="101" t="s">
        <v>213</v>
      </c>
      <c r="K199" s="99">
        <v>100</v>
      </c>
      <c r="L199" s="98" t="s">
        <v>148</v>
      </c>
      <c r="M199" s="99">
        <v>50</v>
      </c>
      <c r="N199" s="98"/>
      <c r="O199" s="98" t="s">
        <v>138</v>
      </c>
      <c r="P199" s="98" t="str">
        <f t="shared" ref="P199" si="37">A199&amp;"|"&amp;O199</f>
        <v>N1|En seguimiento</v>
      </c>
      <c r="Q199" s="98" t="s">
        <v>171</v>
      </c>
      <c r="R199" s="101" t="s">
        <v>192</v>
      </c>
      <c r="S199" s="98"/>
      <c r="T199" s="106">
        <v>46303</v>
      </c>
      <c r="U199" s="231">
        <v>46303</v>
      </c>
      <c r="V199" s="249" t="s">
        <v>632</v>
      </c>
      <c r="W199" s="250"/>
      <c r="X199" s="199" t="s">
        <v>198</v>
      </c>
      <c r="AK199" s="102" t="s">
        <v>198</v>
      </c>
      <c r="AN199" s="97" t="inlineStr">
        <is>
          <t>Educación</t>
        </is>
      </c>
    </row>
    <row r="200" spans="1:40" ht="30" customHeight="1">
      <c r="A200" s="98" t="s">
        <v>3</v>
      </c>
      <c r="B200" s="98" t="s">
        <v>626</v>
      </c>
      <c r="C200" s="98" t="s">
        <v>633</v>
      </c>
      <c r="D200" s="136">
        <v>14610000</v>
      </c>
      <c r="E200" s="98" t="s">
        <v>634</v>
      </c>
      <c r="F200" s="98"/>
      <c r="G200" s="98"/>
      <c r="H200" s="101" t="s">
        <v>195</v>
      </c>
      <c r="I200" s="99">
        <v>100</v>
      </c>
      <c r="J200" s="101" t="s">
        <v>213</v>
      </c>
      <c r="K200" s="99">
        <v>50</v>
      </c>
      <c r="L200" s="98"/>
      <c r="M200" s="99">
        <v>50</v>
      </c>
      <c r="N200" s="98"/>
      <c r="O200" s="98" t="s">
        <v>138</v>
      </c>
      <c r="P200" s="98" t="str">
        <f>A200&amp;"|"&amp;O200</f>
        <v>N4|En seguimiento</v>
      </c>
      <c r="Q200" s="98" t="s">
        <v>139</v>
      </c>
      <c r="R200" s="98" t="str">
        <f>B200</f>
        <v>Luis Lopez</v>
      </c>
      <c r="S200" s="98" t="s">
        <v>287</v>
      </c>
      <c r="T200" s="106">
        <v>46310</v>
      </c>
      <c r="U200" s="106">
        <v>46310</v>
      </c>
      <c r="V200" s="184" t="s">
        <v>635</v>
      </c>
      <c r="W200" s="136">
        <v>14610000</v>
      </c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  <c r="AK200" s="102" t="s">
        <v>198</v>
      </c>
      <c r="AN200" s="97" t="inlineStr">
        <is>
          <t>Salud</t>
        </is>
      </c>
    </row>
    <row r="201" spans="1:40" ht="30" customHeight="1">
      <c r="A201" s="98" t="s">
        <v>3</v>
      </c>
      <c r="B201" s="98" t="s">
        <v>626</v>
      </c>
      <c r="C201" s="98" t="s">
        <v>636</v>
      </c>
      <c r="D201" s="136">
        <v>50000000</v>
      </c>
      <c r="E201" s="98" t="s">
        <v>637</v>
      </c>
      <c r="F201" s="98"/>
      <c r="G201" s="98"/>
      <c r="H201" s="101" t="s">
        <v>195</v>
      </c>
      <c r="I201" s="99">
        <v>100</v>
      </c>
      <c r="J201" s="101" t="s">
        <v>213</v>
      </c>
      <c r="K201" s="99">
        <v>50</v>
      </c>
      <c r="L201" s="98"/>
      <c r="M201" s="99">
        <v>50</v>
      </c>
      <c r="N201" s="98"/>
      <c r="O201" s="98" t="s">
        <v>138</v>
      </c>
      <c r="P201" s="98" t="str">
        <f>A201&amp;"|"&amp;O201</f>
        <v>N4|En seguimiento</v>
      </c>
      <c r="Q201" s="98" t="s">
        <v>139</v>
      </c>
      <c r="R201" s="98" t="str">
        <f>B201</f>
        <v>Luis Lopez</v>
      </c>
      <c r="S201" s="98" t="s">
        <v>287</v>
      </c>
      <c r="T201" s="106">
        <v>46310</v>
      </c>
      <c r="U201" s="106">
        <v>46310</v>
      </c>
      <c r="V201" s="226" t="s">
        <v>638</v>
      </c>
      <c r="W201" s="136">
        <v>55000000</v>
      </c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K201" s="102" t="s">
        <v>188</v>
      </c>
      <c r="AN201" s="97" t="inlineStr">
        <is>
          <t>Entretenimiento</t>
        </is>
      </c>
    </row>
    <row r="202" spans="1:40" ht="30" customHeight="1">
      <c r="A202" s="98" t="s">
        <v>3</v>
      </c>
      <c r="B202" s="98" t="s">
        <v>626</v>
      </c>
      <c r="C202" s="98" t="s">
        <v>480</v>
      </c>
      <c r="D202" s="136">
        <v>50000000</v>
      </c>
      <c r="E202" s="98" t="s">
        <v>634</v>
      </c>
      <c r="F202" s="98"/>
      <c r="G202" s="98"/>
      <c r="H202" s="101" t="s">
        <v>195</v>
      </c>
      <c r="I202" s="99">
        <v>100</v>
      </c>
      <c r="J202" s="101" t="s">
        <v>213</v>
      </c>
      <c r="K202" s="99">
        <v>50</v>
      </c>
      <c r="L202" s="98"/>
      <c r="M202" s="99">
        <v>50</v>
      </c>
      <c r="N202" s="98"/>
      <c r="O202" s="98" t="s">
        <v>138</v>
      </c>
      <c r="P202" s="98" t="str">
        <f>A202&amp;"|"&amp;O202</f>
        <v>N4|En seguimiento</v>
      </c>
      <c r="Q202" s="98" t="s">
        <v>139</v>
      </c>
      <c r="R202" s="98" t="str">
        <f>B202</f>
        <v>Luis Lopez</v>
      </c>
      <c r="S202" s="98" t="s">
        <v>287</v>
      </c>
      <c r="T202" s="106">
        <v>46310</v>
      </c>
      <c r="U202" s="106">
        <v>46310</v>
      </c>
      <c r="V202" s="226" t="s">
        <v>639</v>
      </c>
      <c r="W202" s="136">
        <v>55000000</v>
      </c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  <c r="AK202" s="102" t="s">
        <v>188</v>
      </c>
      <c r="AN202" s="97" t="inlineStr">
        <is>
          <t>Salud</t>
        </is>
      </c>
    </row>
    <row r="203" spans="1:40" ht="30" customHeight="1">
      <c r="A203" s="98" t="s">
        <v>4</v>
      </c>
      <c r="B203" s="98" t="s">
        <v>394</v>
      </c>
      <c r="C203" s="98" t="s">
        <v>564</v>
      </c>
      <c r="D203" s="136">
        <v>60000000</v>
      </c>
      <c r="E203" s="98" t="s">
        <v>640</v>
      </c>
      <c r="F203" s="98"/>
      <c r="G203" s="98"/>
      <c r="H203" s="101" t="s">
        <v>195</v>
      </c>
      <c r="I203" s="99">
        <v>100</v>
      </c>
      <c r="J203" s="101" t="s">
        <v>213</v>
      </c>
      <c r="K203" s="99">
        <v>50</v>
      </c>
      <c r="L203" s="98"/>
      <c r="M203" s="99">
        <v>50</v>
      </c>
      <c r="N203" s="98"/>
      <c r="O203" s="98" t="s">
        <v>138</v>
      </c>
      <c r="P203" s="98" t="str">
        <f>A203&amp;"|"&amp;O203</f>
        <v>N5|En seguimiento</v>
      </c>
      <c r="Q203" s="98" t="s">
        <v>139</v>
      </c>
      <c r="R203" s="125" t="str">
        <f>B203</f>
        <v>Luz Karime Hernandez</v>
      </c>
      <c r="S203" s="98" t="s">
        <v>287</v>
      </c>
      <c r="T203" s="176">
        <v>46296</v>
      </c>
      <c r="U203" s="176">
        <v>46296</v>
      </c>
      <c r="V203" s="226" t="s">
        <v>641</v>
      </c>
      <c r="W203" s="172">
        <v>100000000</v>
      </c>
      <c r="X203" s="152" t="s">
        <v>484</v>
      </c>
      <c r="Y203" s="152" t="s">
        <v>485</v>
      </c>
      <c r="Z203" s="152" t="s">
        <v>486</v>
      </c>
      <c r="AA203" s="152" t="s">
        <v>487</v>
      </c>
      <c r="AB203" s="152" t="s">
        <v>488</v>
      </c>
      <c r="AC203" s="152" t="s">
        <v>489</v>
      </c>
      <c r="AD203" s="152" t="s">
        <v>490</v>
      </c>
      <c r="AE203" s="152" t="s">
        <v>491</v>
      </c>
      <c r="AF203" s="152" t="s">
        <v>492</v>
      </c>
      <c r="AG203" s="152" t="s">
        <v>493</v>
      </c>
      <c r="AH203" s="152" t="s">
        <v>494</v>
      </c>
      <c r="AI203" s="152" t="s">
        <v>495</v>
      </c>
      <c r="AJ203" s="152" t="s">
        <v>496</v>
      </c>
      <c r="AK203" s="97" t="s">
        <v>188</v>
      </c>
      <c r="AN203" s="97" t="inlineStr">
        <is>
          <t>Automotriz</t>
        </is>
      </c>
    </row>
    <row r="204" spans="1:40" ht="30" customHeight="1">
      <c r="A204" s="98" t="s">
        <v>0</v>
      </c>
      <c r="B204" s="98" t="s">
        <v>174</v>
      </c>
      <c r="C204" s="98" t="s">
        <v>219</v>
      </c>
      <c r="D204" s="133">
        <v>12000000</v>
      </c>
      <c r="E204" s="98" t="s">
        <v>642</v>
      </c>
      <c r="F204" s="98"/>
      <c r="G204" s="98"/>
      <c r="H204" s="101" t="s">
        <v>195</v>
      </c>
      <c r="I204" s="99">
        <v>100</v>
      </c>
      <c r="J204" s="101" t="s">
        <v>213</v>
      </c>
      <c r="K204" s="99">
        <v>50</v>
      </c>
      <c r="L204" s="98"/>
      <c r="M204" s="99">
        <v>50</v>
      </c>
      <c r="N204" s="98"/>
      <c r="O204" s="98" t="s">
        <v>138</v>
      </c>
      <c r="P204" s="98" t="str">
        <f t="shared" ref="P204:P205" si="38">A204&amp;"|"&amp;O204</f>
        <v>N1|En seguimiento</v>
      </c>
      <c r="Q204" s="98" t="s">
        <v>139</v>
      </c>
      <c r="R204" s="125" t="str">
        <f>B204</f>
        <v>Andrea Morales</v>
      </c>
      <c r="S204" s="98" t="s">
        <v>287</v>
      </c>
      <c r="T204" s="176">
        <v>46309</v>
      </c>
      <c r="U204" s="176">
        <v>46309</v>
      </c>
      <c r="V204" s="226" t="s">
        <v>643</v>
      </c>
      <c r="W204" s="172">
        <v>12000000</v>
      </c>
      <c r="X204" s="152" t="s">
        <v>484</v>
      </c>
      <c r="Y204" s="152" t="s">
        <v>485</v>
      </c>
      <c r="Z204" s="152" t="s">
        <v>486</v>
      </c>
      <c r="AA204" s="152" t="s">
        <v>487</v>
      </c>
      <c r="AB204" s="152" t="s">
        <v>488</v>
      </c>
      <c r="AC204" s="152" t="s">
        <v>489</v>
      </c>
      <c r="AD204" s="152" t="s">
        <v>490</v>
      </c>
      <c r="AE204" s="152" t="s">
        <v>491</v>
      </c>
      <c r="AF204" s="152" t="s">
        <v>492</v>
      </c>
      <c r="AG204" s="152" t="s">
        <v>493</v>
      </c>
      <c r="AH204" s="152" t="s">
        <v>494</v>
      </c>
      <c r="AI204" s="152" t="s">
        <v>495</v>
      </c>
      <c r="AJ204" s="152" t="s">
        <v>496</v>
      </c>
      <c r="AK204" s="97" t="s">
        <v>188</v>
      </c>
      <c r="AN204" s="97" t="inlineStr">
        <is>
          <t>Automotriz</t>
        </is>
      </c>
    </row>
    <row r="205" spans="1:40" ht="30" customHeight="1">
      <c r="A205" s="98" t="s">
        <v>2</v>
      </c>
      <c r="B205" s="101" t="s">
        <v>322</v>
      </c>
      <c r="C205" s="107" t="s">
        <v>644</v>
      </c>
      <c r="D205" s="225">
        <v>15000000</v>
      </c>
      <c r="E205" s="107" t="s">
        <v>645</v>
      </c>
      <c r="F205" s="98"/>
      <c r="G205" s="98"/>
      <c r="H205" s="101" t="s">
        <v>195</v>
      </c>
      <c r="I205" s="99">
        <v>100</v>
      </c>
      <c r="J205" s="101" t="s">
        <v>213</v>
      </c>
      <c r="K205" s="99">
        <v>50</v>
      </c>
      <c r="L205" s="98"/>
      <c r="M205" s="99">
        <v>50</v>
      </c>
      <c r="N205" s="98"/>
      <c r="O205" s="98" t="s">
        <v>138</v>
      </c>
      <c r="P205" s="98" t="str">
        <f t="shared" si="38"/>
        <v>N3|En seguimiento</v>
      </c>
      <c r="Q205" s="98" t="s">
        <v>171</v>
      </c>
      <c r="R205" s="98" t="str">
        <f t="shared" ref="R205" si="39">B205</f>
        <v>Elsa Cortez</v>
      </c>
      <c r="S205" s="98" t="s">
        <v>287</v>
      </c>
      <c r="T205" s="106">
        <v>46309</v>
      </c>
      <c r="U205" s="106">
        <v>46309</v>
      </c>
      <c r="V205" s="226" t="s">
        <v>646</v>
      </c>
      <c r="W205" s="169">
        <v>30000000</v>
      </c>
      <c r="X205" s="102"/>
      <c r="AK205" s="102" t="s">
        <v>188</v>
      </c>
      <c r="AN205" s="97" t="inlineStr">
        <is>
          <t>Otros</t>
        </is>
      </c>
    </row>
    <row r="206" spans="1:40" ht="30" customHeight="1">
      <c r="A206" s="98" t="s">
        <v>0</v>
      </c>
      <c r="B206" s="98" t="s">
        <v>174</v>
      </c>
      <c r="C206" s="98" t="s">
        <v>647</v>
      </c>
      <c r="D206" s="133">
        <v>20000000</v>
      </c>
      <c r="E206" s="98" t="s">
        <v>648</v>
      </c>
      <c r="F206" s="98"/>
      <c r="G206" s="98"/>
      <c r="H206" s="101" t="s">
        <v>195</v>
      </c>
      <c r="I206" s="99">
        <v>100</v>
      </c>
      <c r="J206" s="101" t="s">
        <v>213</v>
      </c>
      <c r="K206" s="99">
        <v>50</v>
      </c>
      <c r="L206" s="98"/>
      <c r="M206" s="99">
        <v>50</v>
      </c>
      <c r="N206" s="98"/>
      <c r="O206" s="98" t="s">
        <v>138</v>
      </c>
      <c r="P206" s="98" t="str">
        <f t="shared" ref="P206" si="40">A206&amp;"|"&amp;O206</f>
        <v>N1|En seguimiento</v>
      </c>
      <c r="Q206" s="98" t="s">
        <v>139</v>
      </c>
      <c r="R206" s="125" t="str">
        <f>B206</f>
        <v>Andrea Morales</v>
      </c>
      <c r="S206" s="98" t="s">
        <v>287</v>
      </c>
      <c r="T206" s="176">
        <v>46309</v>
      </c>
      <c r="U206" s="176">
        <v>46309</v>
      </c>
      <c r="V206" s="226" t="s">
        <v>649</v>
      </c>
      <c r="W206" s="172">
        <v>25000000</v>
      </c>
      <c r="X206" s="152" t="s">
        <v>484</v>
      </c>
      <c r="Y206" s="152" t="s">
        <v>485</v>
      </c>
      <c r="Z206" s="152" t="s">
        <v>486</v>
      </c>
      <c r="AA206" s="152" t="s">
        <v>487</v>
      </c>
      <c r="AB206" s="152" t="s">
        <v>488</v>
      </c>
      <c r="AC206" s="152" t="s">
        <v>489</v>
      </c>
      <c r="AD206" s="152" t="s">
        <v>490</v>
      </c>
      <c r="AE206" s="152" t="s">
        <v>491</v>
      </c>
      <c r="AF206" s="152" t="s">
        <v>492</v>
      </c>
      <c r="AG206" s="152" t="s">
        <v>493</v>
      </c>
      <c r="AH206" s="152" t="s">
        <v>494</v>
      </c>
      <c r="AI206" s="152" t="s">
        <v>495</v>
      </c>
      <c r="AJ206" s="152" t="s">
        <v>496</v>
      </c>
      <c r="AK206" s="97" t="s">
        <v>188</v>
      </c>
      <c r="AN206" s="97" t="inlineStr">
        <is>
          <t>Seguros</t>
        </is>
      </c>
    </row>
  </sheetData>
  <protectedRanges>
    <protectedRange sqref="O1:O1048576" name="Rango1"/>
    <protectedRange sqref="Q1:Q1048576" name="Rango2"/>
  </protectedRanges>
  <autoFilter ref="AJ1:AK127" xr:uid="{00000000-0001-0000-0100-000000000000}"/>
  <conditionalFormatting sqref="B140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1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68:P175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7:P162"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K22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6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5:G135 W135 I135 K135:U135 B56:I56 K56:U56 B55:U55 W55:W56 O32 Q32 B31:C31 E31:G31 I31 K31:R31 T31:U31 B132:W134 B131:U131 W131 B2:W21 B23:W24 B22:U22 W22 Q136:Q176 O136:O176 B57:W96 B97:U97 W97 B98:W98 B100:W115 B99:U99 W99 B33:W54 B26:W30 B25:U25 W25 B118:W130 B116:U117 W116:W117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7:C182 E177:G182 L177:L182 N177:S182 V177:V180 V182 R183:R185"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3:C184 E183:H184 P183:Q184 L183:L184 S183:S184 H185 N183:N184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83:O185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5:C185 E185:G185 L185 N185 P185:Q185 S185:S191"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86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86 O186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87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87 Q187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8:C191 N188:Q191 E188:G191 L188:L194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2:Q194 O192:O19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5:C195 E195:S195 V195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6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6 O196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7:C197 E197:S197 V197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98 Q1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9:C199 E199:I199 K199 M199:S199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99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9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00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00 Q200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01:L202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01:O202 Q201:Q202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3 O20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4 O20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5:C205 E205:G205 L205 N205:S20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6 O20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4">
    <dataValidation allowBlank="1" showInputMessage="1" showErrorMessage="1" sqref="I79:I117 L2:L7 V4:V7 J2:J8 J42:J43 I45:I53 I38:I43 I55:I74 J45:J52 J10:J12 V10:V12 V49:W49 V51:V53 L119:L125 H130:H131 J129:J131 L85:L117 H134 J134 J55 J14:J24 W33:W48 V136:V137 I32 J26:J30 J197 W2:W30 J33:J35 S31:S32 H116:H117 V57:V83 D122 L10:L43 I196 V160:V162 S135:S146 L45:L83 S163 D131 V140:V141 H122 J122 V14:V21 V23:V24 V167 V146 T163:U167 V164:V165 T176:V176 V100:W115 W177:W182 V177:V180 V182 V85:V96 W68:W96 V98:W98 T199:U199 H207:M1048576 W185 H183:H185 V192 T195:V195 L127:L206 T197:V198 I130:I194 T177:U194 J195 W54:W66 K196 M196 W50:W52 V33:V35 V26:V30 W118:W137 K198 I198 M198 M26:M194 K26:K194 P2:P206 R2:R139 J57:J119 T2:U146 R141:R198 R200:R206 R207:W1048576 K200:K206 I200:I206 M200:M206 V200 T200:U202 T205:U205 W205" xr:uid="{00000000-0002-0000-0100-000002000000}"/>
    <dataValidation type="whole" operator="greaterThanOrEqual" allowBlank="1" showInputMessage="1" showErrorMessage="1" errorTitle="Tipo de dato númerico" error="Por favor ingresa un número entero en la escala del 1 al 100 para medir el avance." prompt="Por favor ingresa un número entero en la escala del 1 al 100 para medir el avance." sqref="I44 I75:I78 I118:I129 M2:M25 K2:K25 I2:I31 I33:I37 M195 K195 I195 M197 K197 I197 M199 K199 I199" xr:uid="{D26162DA-963D-4A40-A5E1-6A390A70D0AC}">
      <formula1>0</formula1>
    </dataValidation>
    <dataValidation type="list" allowBlank="1" showInputMessage="1" showErrorMessage="1" sqref="Q197 Q2:Q31 Q177:Q185 Q188:Q191 Q195 Q33:Q130 Q199 Q205" xr:uid="{6CB68DF8-410D-4B90-9867-41A79C217839}">
      <formula1>$AF$2:$AF$4</formula1>
    </dataValidation>
    <dataValidation type="list" allowBlank="1" showInputMessage="1" showErrorMessage="1" sqref="A47:A51 A2:A31 A33:A45 A195 A197 A199" xr:uid="{2B2C5A05-1274-42DB-9DF1-0ECA833E3AA1}">
      <formula1>$AB$2:$AB$8</formula1>
    </dataValidation>
  </dataValidations>
  <hyperlinks>
    <hyperlink ref="V43" r:id="rId1" xr:uid="{86A47D56-FBA7-4A34-B19D-3D142B8D7078}"/>
    <hyperlink ref="V44" r:id="rId2" xr:uid="{FCBC40CA-3448-4077-A59B-9E6EDB42A026}"/>
    <hyperlink ref="V48" r:id="rId3" xr:uid="{92131E02-3168-4631-9470-DB82333C0E45}"/>
    <hyperlink ref="V49" r:id="rId4" xr:uid="{D82A600B-6C4E-4216-9C97-3123B4686D54}"/>
    <hyperlink ref="V59" r:id="rId5" xr:uid="{25E0D051-F7B7-48AC-AA6B-3C70E909690F}"/>
    <hyperlink ref="V38" r:id="rId6" xr:uid="{402091AD-588C-43B3-A7D1-C8DF55CF56F3}"/>
    <hyperlink ref="V132" r:id="rId7" xr:uid="{ABB7595A-46C5-466D-8E7D-C662008CBD67}"/>
    <hyperlink ref="V39" r:id="rId8" xr:uid="{53F37A75-CBBA-4D1C-818E-892FD34DA7BA}"/>
    <hyperlink ref="V40" r:id="rId9" xr:uid="{00ED524B-B476-4C02-906F-1D8CDECBD54C}"/>
    <hyperlink ref="V41" r:id="rId10" xr:uid="{FDC5E7EA-8FFB-4D7A-801D-B42470E2C31F}"/>
    <hyperlink ref="V42" r:id="rId11" xr:uid="{1C7B18F5-302E-4576-A513-8D4813465B8C}"/>
    <hyperlink ref="V109" r:id="rId12" xr:uid="{7DA329B0-35F9-45B5-B1B9-3ACB872E4676}"/>
    <hyperlink ref="V69" r:id="rId13" xr:uid="{32794F52-E920-41C4-86F4-A9A6EC956206}"/>
    <hyperlink ref="V15" r:id="rId14" xr:uid="{3AAA7E3C-42C3-440E-82E7-CDA0F4AA6E30}"/>
    <hyperlink ref="V37" r:id="rId15" xr:uid="{B8621F76-14C2-4CEA-9750-4D250950A338}"/>
    <hyperlink ref="V68" r:id="rId16" xr:uid="{12290147-601F-4180-92D8-16B0050CE08E}"/>
    <hyperlink ref="V61" r:id="rId17" xr:uid="{1312F5E3-D2D4-401B-ABCF-336A2D3C3118}"/>
    <hyperlink ref="V84" r:id="rId18" xr:uid="{C472D699-FCA9-42B7-BA6F-AE984F900700}"/>
    <hyperlink ref="V113" r:id="rId19" xr:uid="{3CDD10DC-D09D-48DE-BD03-A50972F5D656}"/>
    <hyperlink ref="V71" r:id="rId20" xr:uid="{C5483DD8-44B5-41EE-88FB-9B6FB2AA393B}"/>
    <hyperlink ref="V124" r:id="rId21" xr:uid="{B284FDFA-74BC-49F6-9924-8F19BEDA0368}"/>
    <hyperlink ref="V126" r:id="rId22" xr:uid="{CE2B7FC1-11D0-4812-8510-EC163D51380F}"/>
    <hyperlink ref="V2" r:id="rId23" xr:uid="{550F807D-42B4-4335-A4DA-36063605522F}"/>
    <hyperlink ref="V3" r:id="rId24" xr:uid="{D114B72D-DA10-4B60-888C-27295EAD1E38}"/>
    <hyperlink ref="V7" r:id="rId25" xr:uid="{AFE12EB4-680B-4E0A-BA22-DCDD1472CACC}"/>
    <hyperlink ref="V5" r:id="rId26" xr:uid="{6F36383F-84FE-45AA-9AD7-8FF22BC30D3B}"/>
    <hyperlink ref="V4" r:id="rId27" xr:uid="{7AC38C79-B4FE-4F88-A9ED-AAE3287DDEE4}"/>
    <hyperlink ref="V6" r:id="rId28" xr:uid="{2855A7A2-5111-4C00-A090-881105454419}"/>
    <hyperlink ref="V8" r:id="rId29" xr:uid="{85670A3C-3F49-423C-975E-1A5E7CA98668}"/>
    <hyperlink ref="V9" r:id="rId30" xr:uid="{BD7791EF-9713-4860-AD01-7B339774D260}"/>
    <hyperlink ref="V10" r:id="rId31" xr:uid="{CCE43A0F-0F7E-4C4F-BC70-5C63CE276569}"/>
    <hyperlink ref="V12" r:id="rId32" xr:uid="{20FB653A-5128-4410-989C-D28DEB10900D}"/>
    <hyperlink ref="V14" r:id="rId33" xr:uid="{94BE93B2-780B-4169-A211-DBBEBC955092}"/>
    <hyperlink ref="V110" r:id="rId34" xr:uid="{D05F45F0-4296-4EB3-A4B5-4A5AE4EF1E71}"/>
    <hyperlink ref="V70" r:id="rId35" xr:uid="{5D6A9DE6-0AFE-4C2F-B976-7F1169849B96}"/>
    <hyperlink ref="V111" r:id="rId36" xr:uid="{9B2CF935-8877-48B0-AB51-DF4990A068A0}"/>
    <hyperlink ref="V133" r:id="rId37" xr:uid="{A4EDF905-FB80-44C0-914D-6384CFA5DD4F}"/>
    <hyperlink ref="V112" r:id="rId38" xr:uid="{A3E68318-38A2-4957-8C36-95368374A1C8}"/>
    <hyperlink ref="V134" r:id="rId39" xr:uid="{F7F9DE81-FDA3-4602-9111-942B871F9346}"/>
    <hyperlink ref="V67" r:id="rId40" xr:uid="{DF5A6BA8-C3DE-4194-8E90-F89A64B1F96E}"/>
    <hyperlink ref="V19" r:id="rId41" xr:uid="{6981FD74-5421-4D02-9065-5A72BADDB53C}"/>
    <hyperlink ref="V20" r:id="rId42" xr:uid="{BEA67436-D113-4F52-8F36-3F2527D91DEF}"/>
    <hyperlink ref="V137" r:id="rId43" display="https://grupoprisa-my.sharepoint.com/:p:/g/personal/juangodoy_est_caracol_com_co/IQAQHCjHLHXeQpGijneN_H5lActlHYQNn5Jhxg8oQL12bn8                          https://grupoprisa-my.sharepoint.com/:p:/g/personal/juangodoy_est_caracol_com_co/IQCZl1yA5ZmPS7yCUZS3T5--AeQJKQE2dQZJJX-atpvHzDg" xr:uid="{AA539DBC-5DEF-4CF2-B31A-6500B1975BC2}"/>
    <hyperlink ref="V135" r:id="rId44" xr:uid="{F39E5C34-81BE-4F53-B27D-EA73ECF9BBE7}"/>
    <hyperlink ref="V55" r:id="rId45" xr:uid="{B0B4E8D7-7067-45F2-B824-0CC3DBC1DCAC}"/>
    <hyperlink ref="V56" r:id="rId46" xr:uid="{FC1A2721-C7AA-4909-97CB-29D21E966E6C}"/>
    <hyperlink ref="V138" r:id="rId47" xr:uid="{1B7E3CA2-3564-4499-90D3-64694BA1ADED}"/>
    <hyperlink ref="V147" r:id="rId48" xr:uid="{7A4502C8-22A7-45DD-8E77-85F043A24E91}"/>
    <hyperlink ref="V148" r:id="rId49" xr:uid="{2F96F99F-48F2-4EE7-98A3-787D69813625}"/>
    <hyperlink ref="V152" r:id="rId50" xr:uid="{CB26D978-2735-4EB5-8B9D-E010BE241545}"/>
    <hyperlink ref="V149" r:id="rId51" xr:uid="{B99F20D3-2375-4CC0-8FF5-FBD599454C04}"/>
    <hyperlink ref="V150" r:id="rId52" xr:uid="{6FF08B19-604E-4CE7-8632-3147531B9351}"/>
    <hyperlink ref="V151" r:id="rId53" xr:uid="{D544A90F-8CBE-4E2A-AE66-5703CAB2FEEA}"/>
    <hyperlink ref="V153" r:id="rId54" xr:uid="{4D006E2E-F8B2-4B14-830B-EF962A3C6813}"/>
    <hyperlink ref="V131" r:id="rId55" xr:uid="{51E2D3D0-FC69-4E3F-8932-071442719327}"/>
    <hyperlink ref="V122" r:id="rId56" xr:uid="{08587856-6430-4626-8425-D9EE8DBEDD73}"/>
    <hyperlink ref="V168" r:id="rId57" xr:uid="{FD35D20A-331B-44A9-940B-037B49B28C00}"/>
    <hyperlink ref="V22" r:id="rId58" xr:uid="{7AE71C82-1F69-4ADF-AB73-F17ACE173244}"/>
    <hyperlink ref="V169" r:id="rId59" xr:uid="{EE76210B-0AD2-45F2-8900-D0F1E5AFDBB9}"/>
    <hyperlink ref="V170" r:id="rId60" xr:uid="{11139F42-A054-4AEC-8759-F87D2BD6BE92}"/>
    <hyperlink ref="V171" r:id="rId61" xr:uid="{F2693541-3257-4A39-A90C-8E2F4961C280}"/>
    <hyperlink ref="V172" r:id="rId62" xr:uid="{3D17D966-27E8-4DFD-BAF6-391A2637932F}"/>
    <hyperlink ref="V173" r:id="rId63" xr:uid="{A6938AE7-D112-47BD-A1D8-ED9B9995CAD6}"/>
    <hyperlink ref="V174" r:id="rId64" xr:uid="{4204F4D2-155B-41E8-9DDC-499FA0910336}"/>
    <hyperlink ref="V166" r:id="rId65" xr:uid="{8DE7C7C0-81F2-4C95-852D-E75571198530}"/>
    <hyperlink ref="V163" r:id="rId66" xr:uid="{6112B466-77FB-4F0C-B720-F8C9925194A0}"/>
    <hyperlink ref="V159" r:id="rId67" xr:uid="{A0431780-E6C9-4AB5-8DA0-40AB7CABADBE}"/>
    <hyperlink ref="V158" r:id="rId68" xr:uid="{55DA756D-E604-4691-A47A-93CD3049CCF8}"/>
    <hyperlink ref="V145" r:id="rId69" xr:uid="{F675A17A-CF9B-4017-B684-AF9E578CD4ED}"/>
    <hyperlink ref="V144" r:id="rId70" xr:uid="{CBDFC7CA-3F40-4151-8311-5E9DFC0DBDD8}"/>
    <hyperlink ref="V142" r:id="rId71" xr:uid="{26B2B03C-7CEE-4088-94B0-0EE9C1952131}"/>
    <hyperlink ref="V143" r:id="rId72" xr:uid="{CB152CB6-7F63-4C2F-9993-C29FDC649293}"/>
    <hyperlink ref="V139" r:id="rId73" xr:uid="{2BA2BB5C-14B7-4F6E-9719-467CE8400416}"/>
    <hyperlink ref="V116" r:id="rId74" xr:uid="{F95B9B54-78D1-498E-85EC-135935B67920}"/>
    <hyperlink ref="V175" r:id="rId75" xr:uid="{B55D88AF-7776-4727-9000-CCE2EBE3E807}"/>
    <hyperlink ref="V176" r:id="rId76" xr:uid="{8EB88E4D-C372-4588-AFE5-13898BE41D90}"/>
    <hyperlink ref="V177" r:id="rId77" xr:uid="{6E6145F1-9D5F-4034-80B2-674FF2F9A473}"/>
    <hyperlink ref="V179" r:id="rId78" xr:uid="{DD23355A-0442-408B-A5BA-44490866F6F4}"/>
    <hyperlink ref="V180" r:id="rId79" xr:uid="{9CC46357-A71D-4B47-9DB8-A29ACBD044AF}"/>
    <hyperlink ref="V178" r:id="rId80" xr:uid="{7B0B7C33-1223-40D8-A225-6C3513D137F3}"/>
    <hyperlink ref="V181" r:id="rId81" xr:uid="{B526088B-1A10-4859-BD4D-5C2B89F1D3EB}"/>
    <hyperlink ref="V97" r:id="rId82" xr:uid="{F38C7CBC-F4F6-407A-9F2C-33BC3654180E}"/>
    <hyperlink ref="V182" r:id="rId83" xr:uid="{21B3A185-623E-4035-8A68-0B7CB68E4A41}"/>
    <hyperlink ref="V99" r:id="rId84" xr:uid="{4426042A-CA3C-49F0-BC53-799E40DEB6CF}"/>
    <hyperlink ref="V183" r:id="rId85" xr:uid="{38CAC2BA-3E5F-4203-86AA-A185892E9F0D}"/>
    <hyperlink ref="V184" r:id="rId86" xr:uid="{D344D098-1F05-494D-8FA7-85635BEA2319}"/>
    <hyperlink ref="V185" r:id="rId87" xr:uid="{343677F2-0B42-43B3-B279-953361A3A42A}"/>
    <hyperlink ref="V186" r:id="rId88" xr:uid="{732A8083-53D4-4409-AA80-BB197E820601}"/>
    <hyperlink ref="V187" r:id="rId89" xr:uid="{C4B3D4F0-6ED5-4549-B6A6-99EDB18EFDAC}"/>
    <hyperlink ref="V188" r:id="rId90" xr:uid="{8F415EAA-599E-43A0-8808-305001BA98E7}"/>
    <hyperlink ref="V189" r:id="rId91" xr:uid="{982E81A7-0347-48F7-818E-E2D6B095B56F}"/>
    <hyperlink ref="V190" r:id="rId92" xr:uid="{C6C4EC4E-6B7B-47AB-840B-7E7EA4B1AD9B}"/>
    <hyperlink ref="V191" r:id="rId93" xr:uid="{4A29C7DD-547B-4E96-8856-A7999AB9A944}"/>
    <hyperlink ref="V192" r:id="rId94" xr:uid="{43E6A428-1547-4C8F-B646-9B2EEC83809D}"/>
    <hyperlink ref="V193" r:id="rId95" xr:uid="{3E503805-2AA7-42BA-8D3C-C5C78046A0FE}"/>
    <hyperlink ref="V194" r:id="rId96" xr:uid="{38E061E1-4277-4495-823C-FDF3A82459C6}"/>
    <hyperlink ref="V25" r:id="rId97" xr:uid="{ABAEF294-08BC-4A39-93A6-CE5BE66B2BB5}"/>
    <hyperlink ref="V31" r:id="rId98" xr:uid="{228A7712-F58A-4128-95AF-AF71B5FAA6C1}"/>
    <hyperlink ref="V32" r:id="rId99" xr:uid="{04ADDE66-C168-4A5B-837A-94232E835389}"/>
    <hyperlink ref="V198" r:id="rId100" xr:uid="{CFD40067-4E7B-4EC9-A879-CAD2FB048ED8}"/>
    <hyperlink ref="V117" r:id="rId101" xr:uid="{D49EAE53-6A8D-426B-9F56-E099E4709500}"/>
    <hyperlink ref="V199" r:id="rId102" xr:uid="{95C6A6C2-D46F-433A-94F7-A7399B45B434}"/>
    <hyperlink ref="V200" r:id="rId103" xr:uid="{E9F10FA8-9CF8-4D4C-B29A-0AA87D6EF389}"/>
    <hyperlink ref="V201" r:id="rId104" xr:uid="{21E5022B-77A5-4953-9F79-516F8BFE8212}"/>
    <hyperlink ref="V202" r:id="rId105" xr:uid="{B61C926B-C2ED-43A1-BA9E-84A52FDD14B1}"/>
    <hyperlink ref="V203" r:id="rId106" xr:uid="{A9B8FA3B-C99C-4CF1-9BFD-64B4C9064159}"/>
    <hyperlink ref="V204" r:id="rId107" xr:uid="{1EFBE566-4FDE-4BEC-9AA4-6545F48AD8E2}"/>
    <hyperlink ref="V205" r:id="rId108" xr:uid="{0AAF9B29-A3F1-4C99-86F7-6D317D702039}"/>
    <hyperlink ref="V206" r:id="rId109" xr:uid="{76EA0BA9-7548-422C-A14B-A582D39E377D}"/>
    <hyperlink ref="V154" r:id="rId110" xr:uid="{29B8272E-1FB2-4A2E-A110-12E6CD152263}"/>
  </hyperlinks>
  <pageMargins left="0.25" right="0.25" top="0.75" bottom="0.75" header="0.3" footer="0.3"/>
  <pageSetup paperSize="8" fitToHeight="0" orientation="portrait"/>
  <tableParts count="1">
    <tablePart r:id="rId1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811E-3851-47E8-B81E-00DD755AB8DB}">
  <dimension ref="H6:J57"/>
  <sheetViews>
    <sheetView topLeftCell="C21" zoomScale="121" zoomScaleNormal="70" workbookViewId="0">
      <selection activeCell="B4" sqref="B4"/>
    </sheetView>
  </sheetViews>
  <sheetFormatPr defaultColWidth="11.42578125" defaultRowHeight="14.45"/>
  <cols>
    <col min="1" max="1" width="16.5703125" bestFit="1" customWidth="1"/>
    <col min="2" max="2" width="22.85546875" bestFit="1" customWidth="1"/>
    <col min="3" max="3" width="44.7109375" customWidth="1"/>
    <col min="4" max="4" width="21" customWidth="1"/>
    <col min="5" max="5" width="65.5703125" customWidth="1"/>
    <col min="6" max="6" width="59.5703125" customWidth="1"/>
    <col min="7" max="7" width="58" customWidth="1"/>
    <col min="8" max="8" width="29.42578125" bestFit="1" customWidth="1"/>
    <col min="9" max="9" width="25" bestFit="1" customWidth="1"/>
    <col min="10" max="10" width="32.42578125" bestFit="1" customWidth="1"/>
  </cols>
  <sheetData>
    <row r="6" spans="8:10">
      <c r="H6" s="91" t="s">
        <v>650</v>
      </c>
      <c r="I6" t="s">
        <v>651</v>
      </c>
      <c r="J6" t="s">
        <v>652</v>
      </c>
    </row>
    <row r="7" spans="8:10">
      <c r="H7" s="92" t="s">
        <v>132</v>
      </c>
      <c r="I7" s="94">
        <v>20000000</v>
      </c>
      <c r="J7" s="94">
        <v>20000000</v>
      </c>
    </row>
    <row r="8" spans="8:10">
      <c r="H8" s="93" t="s">
        <v>138</v>
      </c>
      <c r="I8" s="94">
        <v>20000000</v>
      </c>
      <c r="J8" s="94">
        <v>20000000</v>
      </c>
    </row>
    <row r="9" spans="8:10">
      <c r="H9" s="95" t="s">
        <v>132</v>
      </c>
      <c r="I9" s="94">
        <v>20000000</v>
      </c>
      <c r="J9" s="94">
        <v>20000000</v>
      </c>
    </row>
    <row r="10" spans="8:10">
      <c r="H10" s="92" t="s">
        <v>0</v>
      </c>
      <c r="I10" s="94">
        <v>417500000</v>
      </c>
      <c r="J10" s="94">
        <v>489114863</v>
      </c>
    </row>
    <row r="11" spans="8:10">
      <c r="H11" s="93" t="s">
        <v>229</v>
      </c>
      <c r="I11" s="94">
        <v>15000000</v>
      </c>
      <c r="J11" s="94">
        <v>32000000</v>
      </c>
    </row>
    <row r="12" spans="8:10">
      <c r="H12" s="95" t="s">
        <v>192</v>
      </c>
      <c r="I12" s="94">
        <v>15000000</v>
      </c>
      <c r="J12" s="94">
        <v>32000000</v>
      </c>
    </row>
    <row r="13" spans="8:10">
      <c r="H13" s="93" t="s">
        <v>138</v>
      </c>
      <c r="I13" s="94">
        <v>402500000</v>
      </c>
      <c r="J13" s="94">
        <v>457114863</v>
      </c>
    </row>
    <row r="14" spans="8:10">
      <c r="H14" s="95" t="s">
        <v>174</v>
      </c>
      <c r="I14" s="94">
        <v>138500000</v>
      </c>
      <c r="J14" s="94">
        <v>166514863</v>
      </c>
    </row>
    <row r="15" spans="8:10">
      <c r="H15" s="95" t="s">
        <v>201</v>
      </c>
      <c r="I15" s="94">
        <v>100000000</v>
      </c>
      <c r="J15" s="94">
        <v>108000000</v>
      </c>
    </row>
    <row r="16" spans="8:10">
      <c r="H16" s="95" t="s">
        <v>221</v>
      </c>
      <c r="I16" s="94">
        <v>30000000</v>
      </c>
      <c r="J16" s="94">
        <v>32600000</v>
      </c>
    </row>
    <row r="17" spans="8:10">
      <c r="H17" s="95" t="s">
        <v>183</v>
      </c>
      <c r="I17" s="94">
        <v>100000000</v>
      </c>
      <c r="J17" s="94">
        <v>116000000</v>
      </c>
    </row>
    <row r="18" spans="8:10">
      <c r="H18" s="95" t="s">
        <v>215</v>
      </c>
      <c r="I18" s="94">
        <v>34000000</v>
      </c>
      <c r="J18" s="94">
        <v>34000000</v>
      </c>
    </row>
    <row r="19" spans="8:10">
      <c r="H19" s="92" t="s">
        <v>1</v>
      </c>
      <c r="I19" s="94">
        <v>278824572</v>
      </c>
      <c r="J19" s="94">
        <v>339444200</v>
      </c>
    </row>
    <row r="20" spans="8:10">
      <c r="H20" s="93" t="s">
        <v>138</v>
      </c>
      <c r="I20" s="94">
        <v>208824572</v>
      </c>
      <c r="J20" s="94">
        <v>269444200</v>
      </c>
    </row>
    <row r="21" spans="8:10">
      <c r="H21" s="95" t="s">
        <v>246</v>
      </c>
      <c r="I21" s="94">
        <v>42050587</v>
      </c>
      <c r="J21" s="94">
        <v>60000000</v>
      </c>
    </row>
    <row r="22" spans="8:10">
      <c r="H22" s="95" t="s">
        <v>284</v>
      </c>
      <c r="I22" s="94">
        <v>75000000</v>
      </c>
      <c r="J22" s="94">
        <v>75000000</v>
      </c>
    </row>
    <row r="23" spans="8:10">
      <c r="H23" s="95" t="s">
        <v>273</v>
      </c>
      <c r="I23" s="94">
        <v>91773985</v>
      </c>
      <c r="J23" s="94">
        <v>134444200</v>
      </c>
    </row>
    <row r="24" spans="8:10">
      <c r="H24" s="93" t="s">
        <v>307</v>
      </c>
      <c r="I24" s="94">
        <v>70000000</v>
      </c>
      <c r="J24" s="94">
        <v>70000000</v>
      </c>
    </row>
    <row r="25" spans="8:10">
      <c r="H25" s="95" t="s">
        <v>284</v>
      </c>
      <c r="I25" s="94">
        <v>70000000</v>
      </c>
      <c r="J25" s="94">
        <v>70000000</v>
      </c>
    </row>
    <row r="26" spans="8:10">
      <c r="H26" s="92" t="s">
        <v>2</v>
      </c>
      <c r="I26" s="94">
        <v>242950000</v>
      </c>
      <c r="J26" s="94">
        <v>250573340</v>
      </c>
    </row>
    <row r="27" spans="8:10">
      <c r="H27" s="93" t="s">
        <v>229</v>
      </c>
      <c r="I27" s="94">
        <v>5000000</v>
      </c>
      <c r="J27" s="94">
        <v>5500000</v>
      </c>
    </row>
    <row r="28" spans="8:10">
      <c r="H28" s="95" t="s">
        <v>340</v>
      </c>
      <c r="I28" s="94">
        <v>5000000</v>
      </c>
      <c r="J28" s="94">
        <v>5500000</v>
      </c>
    </row>
    <row r="29" spans="8:10">
      <c r="H29" s="93" t="s">
        <v>138</v>
      </c>
      <c r="I29" s="94">
        <v>187950000</v>
      </c>
      <c r="J29" s="94">
        <v>194387280</v>
      </c>
    </row>
    <row r="30" spans="8:10">
      <c r="H30" s="95" t="s">
        <v>337</v>
      </c>
      <c r="I30" s="94">
        <v>70000000</v>
      </c>
      <c r="J30" s="94">
        <v>70000000</v>
      </c>
    </row>
    <row r="31" spans="8:10">
      <c r="H31" s="95" t="s">
        <v>309</v>
      </c>
      <c r="I31" s="94">
        <v>40000000</v>
      </c>
      <c r="J31" s="94">
        <v>46437280</v>
      </c>
    </row>
    <row r="32" spans="8:10">
      <c r="H32" s="95" t="s">
        <v>322</v>
      </c>
      <c r="I32" s="94">
        <v>42950000</v>
      </c>
      <c r="J32" s="94">
        <v>42950000</v>
      </c>
    </row>
    <row r="33" spans="8:10">
      <c r="H33" s="95" t="s">
        <v>325</v>
      </c>
      <c r="I33" s="94">
        <v>35000000</v>
      </c>
      <c r="J33" s="94">
        <v>35000000</v>
      </c>
    </row>
    <row r="34" spans="8:10">
      <c r="H34" s="93" t="s">
        <v>307</v>
      </c>
      <c r="I34" s="94">
        <v>50000000</v>
      </c>
      <c r="J34" s="94">
        <v>50686060</v>
      </c>
    </row>
    <row r="35" spans="8:10">
      <c r="H35" s="95" t="s">
        <v>329</v>
      </c>
      <c r="I35" s="94">
        <v>50000000</v>
      </c>
      <c r="J35" s="94">
        <v>50686060</v>
      </c>
    </row>
    <row r="36" spans="8:10">
      <c r="H36" s="92" t="s">
        <v>3</v>
      </c>
      <c r="I36" s="94">
        <v>441368560</v>
      </c>
      <c r="J36" s="94">
        <v>437226260</v>
      </c>
    </row>
    <row r="37" spans="8:10">
      <c r="H37" s="93" t="s">
        <v>229</v>
      </c>
      <c r="I37" s="94">
        <v>262000000</v>
      </c>
      <c r="J37" s="94">
        <v>263577700</v>
      </c>
    </row>
    <row r="38" spans="8:10">
      <c r="H38" s="95" t="s">
        <v>355</v>
      </c>
      <c r="I38" s="94">
        <v>62000000</v>
      </c>
      <c r="J38" s="94">
        <v>63577700</v>
      </c>
    </row>
    <row r="39" spans="8:10">
      <c r="H39" s="95" t="s">
        <v>371</v>
      </c>
      <c r="I39" s="94">
        <v>200000000</v>
      </c>
      <c r="J39" s="94">
        <v>200000000</v>
      </c>
    </row>
    <row r="40" spans="8:10">
      <c r="H40" s="93" t="s">
        <v>138</v>
      </c>
      <c r="I40" s="94">
        <v>179368560</v>
      </c>
      <c r="J40" s="94">
        <v>173648560</v>
      </c>
    </row>
    <row r="41" spans="8:10">
      <c r="H41" s="95" t="s">
        <v>355</v>
      </c>
      <c r="I41" s="94">
        <v>110568560</v>
      </c>
      <c r="J41" s="94">
        <v>101848560</v>
      </c>
    </row>
    <row r="42" spans="8:10">
      <c r="H42" s="95" t="s">
        <v>363</v>
      </c>
      <c r="I42" s="94">
        <v>68800000</v>
      </c>
      <c r="J42" s="94">
        <v>71800000</v>
      </c>
    </row>
    <row r="43" spans="8:10">
      <c r="H43" s="92" t="s">
        <v>4</v>
      </c>
      <c r="I43" s="94">
        <v>368975000</v>
      </c>
      <c r="J43" s="94">
        <v>370439200</v>
      </c>
    </row>
    <row r="44" spans="8:10">
      <c r="H44" s="93" t="s">
        <v>229</v>
      </c>
      <c r="I44" s="94">
        <v>50000000</v>
      </c>
      <c r="J44" s="94">
        <v>48000000</v>
      </c>
    </row>
    <row r="45" spans="8:10">
      <c r="H45" s="95" t="s">
        <v>413</v>
      </c>
      <c r="I45" s="94">
        <v>20000000</v>
      </c>
      <c r="J45" s="94">
        <v>18000000</v>
      </c>
    </row>
    <row r="46" spans="8:10">
      <c r="H46" s="95" t="s">
        <v>403</v>
      </c>
      <c r="I46" s="94">
        <v>30000000</v>
      </c>
      <c r="J46" s="94">
        <v>30000000</v>
      </c>
    </row>
    <row r="47" spans="8:10">
      <c r="H47" s="93" t="s">
        <v>138</v>
      </c>
      <c r="I47" s="94">
        <v>270975000</v>
      </c>
      <c r="J47" s="94">
        <v>274439200</v>
      </c>
    </row>
    <row r="48" spans="8:10">
      <c r="H48" s="95" t="s">
        <v>413</v>
      </c>
      <c r="I48" s="94">
        <v>138000000</v>
      </c>
      <c r="J48" s="94">
        <v>158500000</v>
      </c>
    </row>
    <row r="49" spans="8:10">
      <c r="H49" s="95" t="s">
        <v>394</v>
      </c>
      <c r="I49" s="94">
        <v>45700000</v>
      </c>
      <c r="J49" s="94">
        <v>24664200</v>
      </c>
    </row>
    <row r="50" spans="8:10">
      <c r="H50" s="95" t="s">
        <v>420</v>
      </c>
      <c r="I50" s="94">
        <v>35000000</v>
      </c>
      <c r="J50" s="94">
        <v>39000000</v>
      </c>
    </row>
    <row r="51" spans="8:10">
      <c r="H51" s="95" t="s">
        <v>403</v>
      </c>
      <c r="I51" s="94">
        <v>52275000</v>
      </c>
      <c r="J51" s="94">
        <v>52275000</v>
      </c>
    </row>
    <row r="52" spans="8:10">
      <c r="H52" s="93" t="s">
        <v>307</v>
      </c>
      <c r="I52" s="94">
        <v>48000000</v>
      </c>
      <c r="J52" s="94">
        <v>48000000</v>
      </c>
    </row>
    <row r="53" spans="8:10">
      <c r="H53" s="95" t="s">
        <v>394</v>
      </c>
      <c r="I53" s="94">
        <v>48000000</v>
      </c>
      <c r="J53" s="94">
        <v>48000000</v>
      </c>
    </row>
    <row r="54" spans="8:10">
      <c r="H54" s="92" t="s">
        <v>146</v>
      </c>
      <c r="I54" s="94">
        <v>220000000</v>
      </c>
      <c r="J54" s="94">
        <v>220000000</v>
      </c>
    </row>
    <row r="55" spans="8:10">
      <c r="H55" s="93" t="s">
        <v>138</v>
      </c>
      <c r="I55" s="94">
        <v>220000000</v>
      </c>
      <c r="J55" s="94">
        <v>220000000</v>
      </c>
    </row>
    <row r="56" spans="8:10">
      <c r="H56" s="95" t="s">
        <v>146</v>
      </c>
      <c r="I56" s="94">
        <v>220000000</v>
      </c>
      <c r="J56" s="94">
        <v>220000000</v>
      </c>
    </row>
    <row r="57" spans="8:10">
      <c r="H57" s="92" t="s">
        <v>653</v>
      </c>
      <c r="I57" s="94">
        <v>1989618132</v>
      </c>
      <c r="J57" s="94">
        <v>2126797863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scriptIds xmlns="http://schemas.microsoft.com/office/extensibility/maker/v1.0" id="script-ids-node-id">
  <scriptId id="ms-officescript%3A%2F%2Fonedrive_business_itemlink%2F01UWKFYRWKIC6FJ6VJ65CYNAHYJ3XGYGEN:ms-officescript%3A%2F%2Fonedrive_business_sharinglink%2Fu!aHR0cHM6Ly9ncnVwb3ByaXNhLW15LnNoYXJlcG9pbnQuY29tLzp1Oi9nL3BlcnNvbmFsL2dlcnNvbnZhcmdhc19lc3RfY2FyYWNvbF9jb21fY28vSVFES1FMeFUtcW4zUllhQS1FN3ViQmlOQVJ3XzNJYjhuOHM5Z0ZoakNBNEZBOU0"/>
  <scriptId xmlns="" id="ms-officescript%3A%2F%2Fonedrive_business_itemlink%2F01UWKFYRUSDD2WCVQPPJGISLMKFU5Z53DC:ms-officescript%3A%2F%2Fonedrive_business_sharinglink%2Fu!aHR0cHM6Ly9ncnVwb3ByaXNhLW15LnNoYXJlcG9pbnQuY29tLzp1Oi9nL3BlcnNvbmFsL2dlcnNvbnZhcmdhc19lc3RfY2FyYWNvbF9jb21fY28vSVFDU0dQVmhWZzk2VElrdGlpMDdudXhpQVNvNFRQM2lHMDhkOUN5QnUtR3Noc1U"/>
  <scriptId xmlns="" id="ms-officescript%3A%2F%2Fonedrive_business_itemlink%2F01UWKFYRRJE43E4ZBLTVDLWYA6VCE3EFPS:ms-officescript%3A%2F%2Fonedrive_business_sharinglink%2Fu!aHR0cHM6Ly9ncnVwb3ByaXNhLW15LnNoYXJlcG9pbnQuY29tLzp1Oi9nL3BlcnNvbmFsL2dlcnNvbnZhcmdhc19lc3RfY2FyYWNvbF9jb21fY28vSVFBcEp6Wk9aQ3VkUnJ0Z0hxaUpzaFh5QVV0TEczM3NWeDhBN1lQTTNPVFc2SkE"/>
  <scriptId xmlns="" id="ms-officescript%3A%2F%2Fonedrive_business_itemlink%2F01UWKFYRQIGIW3KDTOHRG2PBNWKUNM7HCA:ms-officescript%3A%2F%2Fonedrive_business_sharinglink%2Fu!aHR0cHM6Ly9ncnVwb3ByaXNhLW15LnNoYXJlcG9pbnQuY29tLzp1Oi9nL3BlcnNvbmFsL2dlcnNvbnZhcmdhc19lc3RfY2FyYWNvbF9jb21fY28vSVFBSU1pMjFEbTQ4VGFlRnRsVWF6NXhBQWJ1aFlrdEh2Vnh4U29ZcGZwTTlaNUk"/>
  <scriptId xmlns="" id="ms-officescript%3A%2F%2Fonedrive_business_itemlink%2F01UWKFYRVO2YCSB4PGJZA2NZRPPU7XBYZH:ms-officescript%3A%2F%2Fonedrive_business_sharinglink%2Fu!aHR0cHM6Ly9ncnVwb3ByaXNhLW15LnNoYXJlcG9pbnQuY29tLzp1Oi9nL3BlcnNvbmFsL2dlcnNvbnZhcmdhc19lc3RfY2FyYWNvbF9jb21fY28vSVFDdTFnVWc4ZVpPUWFibUwzMF9jT01uQVhaRW55eXdqQ1lWSXRtSV84VjljdXM"/>
  <scriptId xmlns="" id="ms-officescript%3A%2F%2Fonedrive_business_itemlink%2F01UWKFYRQOP2Z5ZO6GF5FJ6EK433JJK7E7:ms-officescript%3A%2F%2Fonedrive_business_sharinglink%2Fu!aHR0cHM6Ly9ncnVwb3ByaXNhLW15LnNoYXJlcG9pbnQuY29tLzp1Oi9nL3BlcnNvbmFsL2dlcnNvbnZhcmdhc19lc3RfY2FyYWNvbF9jb21fY28vSVFBT2ZyUGN1OFl2U3A4UlhON1NsWHlmQVRVeFROMFR2X0xaRU1DcjN1Z05TM3c"/>
</scriptIds>
</file>

<file path=customXml/itemProps1.xml><?xml version="1.0" encoding="utf-8"?>
<ds:datastoreItem xmlns:ds="http://schemas.openxmlformats.org/officeDocument/2006/customXml" ds:itemID="{B4329355-163A-4016-AC01-41E601A7CFBE}"/>
</file>

<file path=customXml/itemProps2.xml><?xml version="1.0" encoding="utf-8"?>
<ds:datastoreItem xmlns:ds="http://schemas.openxmlformats.org/officeDocument/2006/customXml" ds:itemID="{B42B20CE-0731-41A3-BD13-0864044775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2026-05-29T19:31:59Z</dcterms:created>
  <dcterms:modified xsi:type="dcterms:W3CDTF">2026-10-23T15:58:30Z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cd9466-8d4e-4a56-b721-1076610ba137_Enabled">
    <vt:lpwstr>true</vt:lpwstr>
  </property>
  <property fmtid="{D5CDD505-2E9C-101B-9397-08002B2CF9AE}" pid="3" name="MSIP_Label_93cd9466-8d4e-4a56-b721-1076610ba137_SetDate">
    <vt:lpwstr>2026-05-29T17:39:31Z</vt:lpwstr>
  </property>
  <property fmtid="{D5CDD505-2E9C-101B-9397-08002B2CF9AE}" pid="4" name="MSIP_Label_93cd9466-8d4e-4a56-b721-1076610ba137_Method">
    <vt:lpwstr>Standard</vt:lpwstr>
  </property>
  <property fmtid="{D5CDD505-2E9C-101B-9397-08002B2CF9AE}" pid="5" name="MSIP_Label_93cd9466-8d4e-4a56-b721-1076610ba137_Name">
    <vt:lpwstr>General</vt:lpwstr>
  </property>
  <property fmtid="{D5CDD505-2E9C-101B-9397-08002B2CF9AE}" pid="6" name="MSIP_Label_93cd9466-8d4e-4a56-b721-1076610ba137_SiteId">
    <vt:lpwstr>c4fd49f3-e15a-44d8-82e2-c909735d2e45</vt:lpwstr>
  </property>
  <property fmtid="{D5CDD505-2E9C-101B-9397-08002B2CF9AE}" pid="7" name="MSIP_Label_93cd9466-8d4e-4a56-b721-1076610ba137_ActionId">
    <vt:lpwstr>abe4ece1-58df-430c-b584-fb3c496f19aa</vt:lpwstr>
  </property>
  <property fmtid="{D5CDD505-2E9C-101B-9397-08002B2CF9AE}" pid="8" name="MSIP_Label_93cd9466-8d4e-4a56-b721-1076610ba137_ContentBits">
    <vt:lpwstr>0</vt:lpwstr>
  </property>
  <property fmtid="{D5CDD505-2E9C-101B-9397-08002B2CF9AE}" pid="9" name="MSIP_Label_93cd9466-8d4e-4a56-b721-1076610ba137_Tag">
    <vt:lpwstr>10, 3, 0, 2</vt:lpwstr>
  </property>
</Properties>
</file>